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6" sheetId="1" r:id="rId5"/>
    <sheet state="visible" name="JUL-26" sheetId="2" r:id="rId6"/>
    <sheet state="visible" name="AUG-26" sheetId="3" r:id="rId7"/>
    <sheet state="visible" name="SEP-26" sheetId="4" r:id="rId8"/>
    <sheet state="visible" name="OCT-26" sheetId="5" r:id="rId9"/>
    <sheet state="visible" name="NOV-26" sheetId="6" r:id="rId10"/>
    <sheet state="visible" name="DEC-26" sheetId="7" r:id="rId11"/>
    <sheet state="visible" name="All Service Data" sheetId="8" r:id="rId12"/>
    <sheet state="visible" name="JOB SHEET" sheetId="9" r:id="rId13"/>
  </sheets>
  <definedNames>
    <definedName hidden="1" localSheetId="0" name="_xlnm._FilterDatabase">'JAN-26'!$L$1:$L$1011</definedName>
    <definedName hidden="1" localSheetId="1" name="_xlnm._FilterDatabase">'JUL-26'!$L$1:$L$1011</definedName>
    <definedName hidden="1" localSheetId="2" name="_xlnm._FilterDatabase">'AUG-26'!$L$1:$L$1011</definedName>
    <definedName hidden="1" localSheetId="3" name="_xlnm._FilterDatabase">'SEP-26'!$L$1:$L$1011</definedName>
    <definedName hidden="1" localSheetId="4" name="_xlnm._FilterDatabase">'OCT-26'!$L$1:$L$1011</definedName>
    <definedName hidden="1" localSheetId="5" name="_xlnm._FilterDatabase">'NOV-26'!$L$1:$L$1011</definedName>
    <definedName hidden="1" localSheetId="6" name="_xlnm._FilterDatabase">'DEC-26'!$L$1:$L$1011</definedName>
  </definedNames>
  <calcPr/>
</workbook>
</file>

<file path=xl/sharedStrings.xml><?xml version="1.0" encoding="utf-8"?>
<sst xmlns="http://schemas.openxmlformats.org/spreadsheetml/2006/main" count="489" uniqueCount="123">
  <si>
    <t>Service ID</t>
  </si>
  <si>
    <t>Customer Name</t>
  </si>
  <si>
    <t>Mobile Number</t>
  </si>
  <si>
    <t>Watch Brand</t>
  </si>
  <si>
    <t>Model</t>
  </si>
  <si>
    <t>Problem Reported</t>
  </si>
  <si>
    <t>Received Date</t>
  </si>
  <si>
    <t>Expected Delivery Date</t>
  </si>
  <si>
    <t>Service Charge (₹)</t>
  </si>
  <si>
    <t>Advance Paid (₹)</t>
  </si>
  <si>
    <t>Balance Amount (₹)</t>
  </si>
  <si>
    <t>Service Status</t>
  </si>
  <si>
    <t>Delivered Date</t>
  </si>
  <si>
    <t>Remarks</t>
  </si>
  <si>
    <t>Notify</t>
  </si>
  <si>
    <t>WhatsApp Link</t>
  </si>
  <si>
    <t>Customer WhatsappLink</t>
  </si>
  <si>
    <t>MR.MUTHIYAN</t>
  </si>
  <si>
    <t>TITAN RAGA</t>
  </si>
  <si>
    <t>2543(SM\L)</t>
  </si>
  <si>
    <t>MG</t>
  </si>
  <si>
    <t>Delivered</t>
  </si>
  <si>
    <t>YES</t>
  </si>
  <si>
    <t>MRS.SHANTHI</t>
  </si>
  <si>
    <t>TITAN</t>
  </si>
  <si>
    <t>2594(YM\G)</t>
  </si>
  <si>
    <t>SERVICE</t>
  </si>
  <si>
    <t>Ready</t>
  </si>
  <si>
    <t>MR.KRISHNAN</t>
  </si>
  <si>
    <t>OTHER WATCHES</t>
  </si>
  <si>
    <t>LAMEX (YM\L)</t>
  </si>
  <si>
    <t>SERVIVE</t>
  </si>
  <si>
    <t>MR.VENKAT RAMAN</t>
  </si>
  <si>
    <t>1163(BM\G)</t>
  </si>
  <si>
    <t>MR.RAJABOOPATHI</t>
  </si>
  <si>
    <t>INDIA POST(SL\G)</t>
  </si>
  <si>
    <t>RE SERVICE</t>
  </si>
  <si>
    <t>MR.SHANKAR</t>
  </si>
  <si>
    <t>1955(YM\G)</t>
  </si>
  <si>
    <t>MR.PERIYA SWMAY</t>
  </si>
  <si>
    <t>SONATA</t>
  </si>
  <si>
    <t>77083(NM\G)</t>
  </si>
  <si>
    <t>MG+CROWN BUTTON</t>
  </si>
  <si>
    <t>MR.MANDHARAN</t>
  </si>
  <si>
    <t>HMT AUTOMATIC</t>
  </si>
  <si>
    <t>KEY BUTTON</t>
  </si>
  <si>
    <t>Returned</t>
  </si>
  <si>
    <t>RETURNED TO THE CUSTOMER WITHOUT REPAIR</t>
  </si>
  <si>
    <t>MR.NAVEEN KUMAR</t>
  </si>
  <si>
    <t>SMART WATCH</t>
  </si>
  <si>
    <t>FASTRACK PP03</t>
  </si>
  <si>
    <t>BATTERY DRAIN</t>
  </si>
  <si>
    <t>MR.RAJA PANDI</t>
  </si>
  <si>
    <t>FASTRACK</t>
  </si>
  <si>
    <t>3072SM(G)</t>
  </si>
  <si>
    <t>MG+SERVIVE</t>
  </si>
  <si>
    <t xml:space="preserve">Pending </t>
  </si>
  <si>
    <t>1650YM(G)</t>
  </si>
  <si>
    <t>CUP+SERVIVE</t>
  </si>
  <si>
    <t>MR.MANI VEL</t>
  </si>
  <si>
    <t>161YM(G)</t>
  </si>
  <si>
    <t>CASE+CHAIN+BATTERY(721)</t>
  </si>
  <si>
    <t>MR.SURESH</t>
  </si>
  <si>
    <t>531YM(G)</t>
  </si>
  <si>
    <t>;</t>
  </si>
  <si>
    <t>MR.M.UMA PATHY</t>
  </si>
  <si>
    <t>FIREBOLT(NM)</t>
  </si>
  <si>
    <t>BATTERY</t>
  </si>
  <si>
    <t>MR.SELVA KUMAR</t>
  </si>
  <si>
    <t>1478SL(G)</t>
  </si>
  <si>
    <t>SERVICE+BATTERY</t>
  </si>
  <si>
    <t>MR.THIBOTH</t>
  </si>
  <si>
    <t>38163NL(G)</t>
  </si>
  <si>
    <t>MG+SERVICE+BATTERY</t>
  </si>
  <si>
    <t>MR.SHANMUNGUM</t>
  </si>
  <si>
    <t>9264YM(G)</t>
  </si>
  <si>
    <t>COIL+SERVICE+BATTERY</t>
  </si>
  <si>
    <t>MR.ANBU</t>
  </si>
  <si>
    <t>1320YM(G)</t>
  </si>
  <si>
    <t>MR.LOGANATHAN</t>
  </si>
  <si>
    <t>1581YM(G)</t>
  </si>
  <si>
    <t>SERVICE+BUTTON</t>
  </si>
  <si>
    <t>MR.T.MUTHU</t>
  </si>
  <si>
    <t>WALL CLOCK</t>
  </si>
  <si>
    <t>PROMISE 151</t>
  </si>
  <si>
    <t>MOVEMENT</t>
  </si>
  <si>
    <t>MR.MURUGHAN</t>
  </si>
  <si>
    <t>1641YM(G)</t>
  </si>
  <si>
    <t>MR.MANIVEL</t>
  </si>
  <si>
    <t>1141YM(G)</t>
  </si>
  <si>
    <t>MS.MONIKA</t>
  </si>
  <si>
    <t>8141SM(L)</t>
  </si>
  <si>
    <t>MR.KANNAN</t>
  </si>
  <si>
    <t>3120SL(G)</t>
  </si>
  <si>
    <t>MG+BATTERY+STRAP</t>
  </si>
  <si>
    <t>9224SL(G)</t>
  </si>
  <si>
    <t>MG+STRAP</t>
  </si>
  <si>
    <t>EDGE 1044YL(G)</t>
  </si>
  <si>
    <t>MR.MUNIRAJ</t>
  </si>
  <si>
    <t>38156NM(SMART)</t>
  </si>
  <si>
    <t>DISPLAY</t>
  </si>
  <si>
    <t>1311YM(G)</t>
  </si>
  <si>
    <t>MR.SARATHI</t>
  </si>
  <si>
    <t>7987SM(G)</t>
  </si>
  <si>
    <t>MR.MAHESWARAN</t>
  </si>
  <si>
    <t>SMART</t>
  </si>
  <si>
    <t>SALTRING</t>
  </si>
  <si>
    <t>Govinda Swmay</t>
  </si>
  <si>
    <t>9151YM\G</t>
  </si>
  <si>
    <t>MG+SERVICE+BATTERY (721)+Dial</t>
  </si>
  <si>
    <t>VIVEK</t>
  </si>
  <si>
    <t>3287NM/G</t>
  </si>
  <si>
    <t>Battery(626)+ crown</t>
  </si>
  <si>
    <t xml:space="preserve">SMART TIMES     </t>
  </si>
  <si>
    <t>107/8,PENNAGARAM MAIN  ROAD,(NEXT TO R,C.CHURCH),DHARMAPURI-636701.</t>
  </si>
  <si>
    <t>CELL:9751285945,8667288021</t>
  </si>
  <si>
    <t>AUTHORISED RETAILER</t>
  </si>
  <si>
    <t>CUSTOMER COMPLAINT ACKNOWLEDGEMENT FORM</t>
  </si>
  <si>
    <t>Service Charge</t>
  </si>
  <si>
    <t>Advance Paid</t>
  </si>
  <si>
    <t>Balance Amount</t>
  </si>
  <si>
    <t>CUSTOMER SIGN</t>
  </si>
  <si>
    <t>FOR SMART 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</si>
</sst>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.0"/>
      <color rgb="FF000000"/>
      <name val="Arial"/>
      <scheme val="minor"/>
    </font>
    <font>
      <b/>
      <sz val="13.0"/>
      <color rgb="FF000000"/>
      <name val="Calibri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22.0"/>
      <color theme="1"/>
      <name val="Arial"/>
      <scheme val="minor"/>
    </font>
    <font>
      <b/>
      <sz val="30.0"/>
      <color theme="1"/>
      <name val="Arial"/>
      <scheme val="minor"/>
    </font>
    <font/>
    <font>
      <b/>
      <sz val="15.0"/>
      <color theme="1"/>
      <name val="Arial"/>
      <scheme val="minor"/>
    </font>
    <font>
      <b/>
      <sz val="10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0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Border="1" applyFont="1"/>
    <xf borderId="0" fillId="0" fontId="3" numFmtId="0" xfId="0" applyFont="1"/>
    <xf borderId="1" fillId="0" fontId="3" numFmtId="164" xfId="0" applyAlignment="1" applyBorder="1" applyFont="1" applyNumberFormat="1">
      <alignment horizontal="center"/>
    </xf>
    <xf borderId="0" fillId="0" fontId="5" numFmtId="0" xfId="0" applyFont="1"/>
    <xf borderId="1" fillId="0" fontId="3" numFmtId="1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0" fillId="0" fontId="3" numFmtId="164" xfId="0" applyFont="1" applyNumberFormat="1"/>
    <xf borderId="0" fillId="0" fontId="3" numFmtId="165" xfId="0" applyFont="1" applyNumberFormat="1"/>
    <xf borderId="2" fillId="0" fontId="6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3" fillId="0" fontId="9" numFmtId="0" xfId="0" applyAlignment="1" applyBorder="1" applyFont="1">
      <alignment horizontal="center" readingOrder="0"/>
    </xf>
    <xf borderId="7" fillId="0" fontId="8" numFmtId="0" xfId="0" applyBorder="1" applyFont="1"/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3" fillId="0" fontId="3" numFmtId="0" xfId="0" applyBorder="1" applyFont="1"/>
    <xf borderId="8" fillId="0" fontId="3" numFmtId="0" xfId="0" applyBorder="1" applyFont="1"/>
    <xf borderId="3" fillId="0" fontId="1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" fillId="0" fontId="11" numFmtId="0" xfId="0" applyAlignment="1" applyBorder="1" applyFont="1">
      <alignment horizontal="left" readingOrder="0" vertical="center"/>
    </xf>
    <xf borderId="3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wrapText="1"/>
    </xf>
    <xf borderId="3" fillId="0" fontId="11" numFmtId="0" xfId="0" applyAlignment="1" applyBorder="1" applyFont="1">
      <alignment horizontal="center"/>
    </xf>
    <xf borderId="1" fillId="0" fontId="12" numFmtId="0" xfId="0" applyBorder="1" applyFont="1"/>
    <xf borderId="1" fillId="0" fontId="11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/>
    </xf>
    <xf borderId="9" fillId="0" fontId="13" numFmtId="0" xfId="0" applyAlignment="1" applyBorder="1" applyFont="1">
      <alignment readingOrder="0" vertical="bottom"/>
    </xf>
    <xf borderId="10" fillId="0" fontId="8" numFmtId="0" xfId="0" applyBorder="1" applyFont="1"/>
    <xf borderId="11" fillId="0" fontId="8" numFmtId="0" xfId="0" applyBorder="1" applyFont="1"/>
    <xf borderId="9" fillId="0" fontId="13" numFmtId="0" xfId="0" applyAlignment="1" applyBorder="1" applyFont="1">
      <alignment horizontal="center" readingOrder="0" vertical="top"/>
    </xf>
    <xf borderId="8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4" max="4" width="16.38"/>
    <col customWidth="1" min="5" max="5" width="15.38"/>
    <col customWidth="1" min="6" max="6" width="24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"),11.0)</f>
        <v>11</v>
      </c>
      <c r="T1" s="6"/>
      <c r="U1" s="6"/>
      <c r="V1" s="6"/>
      <c r="W1" s="6"/>
      <c r="X1" s="6"/>
      <c r="Y1" s="6"/>
    </row>
    <row r="2" ht="18.0" customHeight="1">
      <c r="A2" s="7">
        <v>2483.0</v>
      </c>
      <c r="B2" s="7" t="s">
        <v>17</v>
      </c>
      <c r="C2" s="7">
        <v>9.952302155E9</v>
      </c>
      <c r="D2" s="7" t="s">
        <v>18</v>
      </c>
      <c r="E2" s="7" t="s">
        <v>19</v>
      </c>
      <c r="F2" s="7" t="s">
        <v>20</v>
      </c>
      <c r="G2" s="8">
        <v>46023.0</v>
      </c>
      <c r="H2" s="8">
        <v>46026.0</v>
      </c>
      <c r="I2" s="7">
        <v>100.0</v>
      </c>
      <c r="J2" s="9"/>
      <c r="K2" s="9"/>
      <c r="L2" s="7" t="s">
        <v>21</v>
      </c>
      <c r="M2" s="10">
        <v>46030.0</v>
      </c>
      <c r="N2" s="9"/>
      <c r="O2" s="11" t="s">
        <v>22</v>
      </c>
      <c r="P2" s="12" t="str">
        <f t="shared" ref="P2:P8" si="1">IF(O2="YES",
"https://wa.me/?text=" &amp;
ENCODEURL(
IF(OR(L2="Pending",L2="In Progress"),
"⚠ *SERVICE ALERT – ATTENTION REQUIRED*" &amp; CHAR(10) &amp; CHAR(10),
"📢 *SERVICE STATUS UPDATE*" &amp; CHAR(10) &amp; CHAR(10)
) &amp;
"Service ID: " &amp; A2 &amp; CHAR(10) &amp;
"Customer: " &amp; B2 &amp; CHAR(10) &amp;
"Mobile: " &amp; C2 &amp; CHAR(10) &amp;
"Brand: " &amp; D2 &amp; CHAR(10) &amp;
"Problem: " &amp; F2 &amp; CHAR(10) &amp; CHAR(10) &amp;
"Received Date: " &amp; TEXT(G2,"dd-mmm-yyyy") &amp; CHAR(10) &amp;
"Expected Delivery Date: " &amp; TEXT(H2,"dd-mmm-yyyy") &amp; CHAR(10) &amp;
"Current Status: *" &amp; L2 &amp; "*" &amp; CHAR(10) &amp; CHAR(10) &amp;
IF(OR(L2="Pending",L2="In Progress"),
"⚠ Please follow up immediately.",
"✅ Service update for information."
) &amp; CHAR(10) &amp; CHAR(10) &amp;
"Balance Amount: ₹" &amp; K2 &amp; CHAR(10) &amp; CHAR(10) &amp;
"— SMART TIMES SERVICE"
),
"")
</f>
        <v>https://wa.me/?text=%F0%9F%93%A2%20%2ASERVICE%20STATUS%20UPDATE%2A%0A%0AService%20ID%3A%202483%0ACustomer%3A%20MR.MUTHIYAN%0AMobile%3A%209952302155%0ABrand%3A%20TITAN%20RAGA%0AProblem%3A%20MG%0A%0AReceived%20Date%3A%2001-Jan-2026%0AExpected%20Delivery%20Date%3A%2004-Jan-2026%0ACurrent%20Status%3A%20%2ADelivered%2A%0A%0A%E2%9C%85%20Service%20update%20for%20information.%0A%0ABalance%20Amount%3A%20%E2%82%B9%0A%0A%E2%80%94%20SMART%20TIMES%20SERVICE</v>
      </c>
      <c r="Q2" s="13" t="str">
        <f>IFERROR(__xludf.DUMMYFUNCTION("IF(REGEXMATCH(LOWER(L2),""ready""),
""https://wa.me/91""&amp;C2&amp;""?text="" &amp;
ENCODEURL(
""📢 *SERVICE READY – READY FOR COLLECTION*"" &amp; CHAR(10) &amp; CHAR(10) &amp;
""📌 *English*"" &amp; CHAR(10) &amp;
""Dear "" &amp; B2 &amp; "","" &amp; CHAR(10) &amp;
""Your watch service is completed"&amp;" and ready for collection."" &amp; CHAR(10) &amp;
""Brand: "" &amp; D2 &amp; CHAR(10) &amp;
""Problem: "" &amp; F2 &amp; CHAR(10) &amp;
""Received Date: "" &amp; TEXT(G2,""dd-mmm-yyyy"") &amp; CHAR(10) &amp;
""Ready Date: "" &amp; TEXT(H2,""dd-mmm-yyyy"") &amp; CHAR(10) &amp;
""Balance Amount: ₹"" &amp; K2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D2 &amp; CHAR(10) &amp;
""பெறப்பட்ட தேதி: "" &amp; TEXT(G2,""dd-mmm-yyyy"") &amp; CHAR(10) &amp;
""தயார் தேதி: "" &amp; TEXT(H2,""dd-mmm-yyyy"") &amp; CHAR(10) &amp;
""மீதத் தொகை: ₹"" &amp; K2 &amp; CHAR(10) &amp; CHAR(10) &amp;
""🗺 *Google Map:* https://maps.app.goo.gl/DpPkfna7HQttx"&amp;"YXn9"" &amp; CHAR(10) &amp; CHAR(10) &amp;
""🙏 SMART TIMES SERVICE""
),
"""")
"),"")</f>
        <v/>
      </c>
      <c r="R2" s="13" t="str">
        <f t="shared" ref="R2:R3" si="2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"),"2492 | Rec: 04-Jan | Exp: 14-Jan
2492 | Rec: 04-Jan | Exp: 14-Jan
2496 | Rec: 05-Jan | Exp: 09-Jan
2497 | Rec: 05-Jan | Exp: 09-Jan
2504 | Rec: 08-Jan | Exp: 11-Jan
2505 | Rec: 09-Jan | Exp: 13-Jan
2505 | Rec: 09-Jan | Exp: 13-Jan
2507 | Rec: 11-Jan | Exp"&amp;": 21-Jan
2508 | Rec: 11-Jan | Exp: 14-Jan
2509 | Rec: 12-Jan | Exp: 14-Jan
2510 | Rec: 12-Jan | Exp: 14-Jan")</f>
        <v>2492 | Rec: 04-Jan | Exp: 14-Jan
2492 | Rec: 04-Jan | Exp: 14-Jan
2496 | Rec: 05-Jan | Exp: 09-Jan
2497 | Rec: 05-Jan | Exp: 09-Jan
2504 | Rec: 08-Jan | Exp: 11-Jan
2505 | Rec: 09-Jan | Exp: 13-Jan
2505 | Rec: 09-Jan | Exp: 13-Jan
2507 | Rec: 11-Jan | Exp: 21-Jan
2508 | Rec: 11-Jan | Exp: 14-Jan
2509 | Rec: 12-Jan | Exp: 14-Jan
2510 | Rec: 12-Jan | Exp: 14-Jan</v>
      </c>
    </row>
    <row r="3">
      <c r="A3" s="9">
        <f>A2+1</f>
        <v>2484</v>
      </c>
      <c r="B3" s="7" t="s">
        <v>23</v>
      </c>
      <c r="C3" s="7">
        <v>8.015336933E9</v>
      </c>
      <c r="D3" s="7" t="s">
        <v>24</v>
      </c>
      <c r="E3" s="7" t="s">
        <v>25</v>
      </c>
      <c r="F3" s="7" t="s">
        <v>26</v>
      </c>
      <c r="G3" s="8">
        <v>46023.0</v>
      </c>
      <c r="H3" s="8">
        <v>46026.0</v>
      </c>
      <c r="I3" s="7">
        <v>350.0</v>
      </c>
      <c r="J3" s="7">
        <v>0.0</v>
      </c>
      <c r="K3" s="7">
        <f>I3-J3</f>
        <v>350</v>
      </c>
      <c r="L3" s="7" t="s">
        <v>27</v>
      </c>
      <c r="M3" s="10"/>
      <c r="N3" s="9"/>
      <c r="O3" s="11" t="s">
        <v>22</v>
      </c>
      <c r="P3" s="12" t="str">
        <f t="shared" si="1"/>
        <v>https://wa.me/?text=%F0%9F%93%A2%20%2ASERVICE%20STATUS%20UPDATE%2A%0A%0AService%20ID%3A%202484%0ACustomer%3A%20MRS.SHANTHI%0AMobile%3A%208015336933%0ABrand%3A%20TITAN%0AProblem%3A%20SERVICE%0A%0AReceived%20Date%3A%2001-Jan-2026%0AExpected%20Delivery%20Date%3A%2004-Jan-2026%0ACurrent%20Status%3A%20%2AReady%2A%0A%0A%E2%9C%85%20Service%20update%20for%20information.%0A%0ABalance%20Amount%3A%20%E2%82%B9350%0A%0A%E2%80%94%20SMART%20TIMES%20SERVICE</v>
      </c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https://wa.me/918015336933?text=%F0%9F%93%A2%20%2ASERVICE%20READY%20%E2%80%93%20READY%20FOR%20COLLECTION%2A%0A%0A%F0%9F%93%8C%20%2AEnglish%2A%0ADear%20MRS.SHANTHI%2C%0AYour%20watch%20service%20is%20completed%20and%20ready%20for%20collection.%0ABrand%3A%20"&amp;"TITAN%0AProblem%3A%20SERVICE%0AReceived%20Date%3A%2001-Jan-2026%0AReady%20Date%3A%2004-Jan-2026%0ABalance%20Amount%3A%20%E2%82%B9350%0A%0A%F0%9F%93%8D%20%2AShop%20Address%3A%2A%0ASMART%20TIMES%2C%0A8%2F107%2C%20Pennagaram%20Main%20Road%2C%0ANext%20to%20R."&amp;"C%20Church%2C%0ADharmapuri%20%E2%80%93%20636701%0A%0A%F0%9F%97%BA%20%2AGoogle%20Map%3A%2A%20https%3A%2F%2Fmaps.app.goo.gl%2FDpPkfna7HQttxYXn9%0A%0A%F0%9F%93%8C%20%2A%E0%AE%A4%E0%AE%AE%E0%AE%BF%E0%AE%B4%E0%AF%8D%2A%0A%E0%AE%B5%E0%AE%A3%E0%AE%95%E0%AF%8D%E0"&amp;"%AE%95%E0%AE%AE%E0%AF%8D%20MRS.SHANTHI%2C%0A%E0%AE%89%E0%AE%99%E0%AF%8D%E0%AE%95%E0%AE%B3%E0%AF%8D%20%E0%AE%95%E0%AE%9F%E0%AE%BF%E0%AE%95%E0%AE%BE%E0%AE%B0%20%E0%AE%9A%E0%AE%B0%E0%AF%8D%E0%AE%B5%E0%AF%80%E0%AE%B8%E0%AF%8D%20%E0%AE%AE%E0%AF%81%E0%AE%9F%E0%"&amp;"AE%BF%E0%AE%A8%E0%AF%8D%E0%AE%A4%E0%AF%81%2C%20%E0%AE%AA%E0%AF%86%E0%AE%B1%E0%AF%8D%E0%AE%B1%E0%AF%81%E0%AE%95%E0%AF%8D%E0%AE%95%E0%AF%8A%E0%AE%B3%E0%AF%8D%E0%AE%B3%20%E0%AE%A4%E0%AE%AF%E0%AE%BE%E0%AE%B0%E0%AE%BE%E0%AE%95%20%E0%AE%89%E0%AE%B3%E0%AF%8D%E0%"&amp;"AE%B3%E0%AE%A4%E0%AF%81.%0A%E0%AE%A4%E0%AE%AF%E0%AE%B5%E0%AF%81%E0%AE%9A%E0%AF%86%E0%AE%AF%E0%AF%8D%E0%AE%A4%E0%AF%81%20%E0%AE%95%E0%AE%9F%E0%AF%88%E0%AE%95%E0%AF%8D%E0%AE%95%E0%AF%81%20%E0%AE%B5%E0%AE%A8%E0%AF%8D%E0%AE%A4%E0%AF%81%20%E0%AE%AA%E0%AF%86%E0"&amp;"%AE%B1%E0%AF%8D%E0%AE%B1%E0%AF%81%E0%AE%95%E0%AF%8D%E0%AE%95%E0%AF%8A%E0%AE%B3%E0%AF%8D%E0%AE%B3%E0%AE%B5%E0%AF%81%E0%AE%AE%E0%AF%8D.%0A%E0%AE%AA%E0%AE%BF%E0%AE%B0%E0%AE%BE%E0%AE%A3%E0%AF%8D%E0%AE%9F%E0%AF%8D%3A%20TITAN%0A%E0%AE%AA%E0%AF%86%E0%AE%B1%E0%AE"&amp;"%AA%E0%AF%8D%E0%AE%AA%E0%AE%9F%E0%AF%8D%E0%AE%9F%20%E0%AE%A4%E0%AF%87%E0%AE%A4%E0%AE%BF%3A%2001-Jan-2026%0A%E0%AE%A4%E0%AE%AF%E0%AE%BE%E0%AE%B0%E0%AF%8D%20%E0%AE%A4%E0%AF%87%E0%AE%A4%E0%AE%BF%3A%2004-Jan-2026%0A%E0%AE%AE%E0%AF%80%E0%AE%A4%E0%AE%A4%E0%AF%8"&amp;"D%20%E0%AE%A4%E0%AF%8A%E0%AE%95%E0%AF%88%3A%20%E2%82%B9350%0A%0A%F0%9F%97%BA%20%2AGoogle%20Map%3A%2A%20https%3A%2F%2Fmaps.app.goo.gl%2FDpPkfna7HQttxYXn9%0A%0A%F0%9F%99%8F%20SMART%20TIMES%20SERVICE")</f>
        <v>https://wa.me/918015336933?text=%F0%9F%93%A2%20%2ASERVICE%20READY%20%E2%80%93%20READY%20FOR%20COLLECTION%2A%0A%0A%F0%9F%93%8C%20%2AEnglish%2A%0ADear%20MRS.SHANTHI%2C%0AYour%20watch%20service%20is%20completed%20and%20ready%20for%20collection.%0ABrand%3A%20TITAN%0AProblem%3A%20SERVICE%0AReceived%20Date%3A%2001-Jan-2026%0AReady%20Date%3A%2004-Jan-2026%0ABalance%20Amount%3A%20%E2%82%B9350%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S.SHANTHI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TITAN%0A%E0%AE%AA%E0%AF%86%E0%AE%B1%E0%AE%AA%E0%AF%8D%E0%AE%AA%E0%AE%9F%E0%AF%8D%E0%AE%9F%20%E0%AE%A4%E0%AF%87%E0%AE%A4%E0%AE%BF%3A%2001-Jan-2026%0A%E0%AE%A4%E0%AE%AF%E0%AE%BE%E0%AE%B0%E0%AF%8D%20%E0%AE%A4%E0%AF%87%E0%AE%A4%E0%AE%BF%3A%2004-Jan-2026%0A%E0%AE%AE%E0%AF%80%E0%AE%A4%E0%AE%A4%E0%AF%8D%20%E0%AE%A4%E0%AF%8A%E0%AE%95%E0%AF%88%3A%20%E2%82%B9350%0A%0A%F0%9F%97%BA%20%2AGoogle%20Map%3A%2A%20https%3A%2F%2Fmaps.app.goo.gl%2FDpPkfna7HQttxYXn9%0A%0A%F0%9F%99%8F%20SMART%20TIMES%20SERVICE</v>
      </c>
      <c r="R3" s="12" t="str">
        <f t="shared" si="2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si="1"/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"),"🔴 2492 | Rec: 04-Jan | Exp: 14-Jan
🔴 2492 | Rec: 04-Jan | Exp: 14-Jan
🔴 2496 | Rec: 05-Jan | Exp: 09-Jan
🔴 2497 | Rec: 05-Jan | Exp: 09-Jan
🔴 2504 | Rec: 08-Jan | Exp: 11-Jan
🔴 2505 | Rec: 09-Jan | Exp: 13-Jan
🔴 2505 | Rec: 09-Jan | Exp: 13-Jan
🔴 "&amp;"2507 | Rec: 11-Jan | Exp: 21-Jan
🔴 2508 | Rec: 11-Jan | Exp: 14-Jan
🔴 2509 | Rec: 12-Jan | Exp: 14-Jan
🔴 2510 | Rec: 12-Jan | Exp: 14-Jan")</f>
        <v>🔴 2492 | Rec: 04-Jan | Exp: 14-Jan
🔴 2492 | Rec: 04-Jan | Exp: 14-Jan
🔴 2496 | Rec: 05-Jan | Exp: 09-Jan
🔴 2497 | Rec: 05-Jan | Exp: 09-Jan
🔴 2504 | Rec: 08-Jan | Exp: 11-Jan
🔴 2505 | Rec: 09-Jan | Exp: 13-Jan
🔴 2505 | Rec: 09-Jan | Exp: 13-Jan
🔴 2507 | Rec: 11-Jan | Exp: 21-Jan
🔴 2508 | Rec: 11-Jan | Exp: 14-Jan
🔴 2509 | Rec: 12-Jan | Exp: 14-Jan
🔴 2510 | Rec: 12-Jan | Exp: 14-Jan</v>
      </c>
    </row>
    <row r="5" ht="21.75" customHeight="1">
      <c r="A5" s="7">
        <v>2485.0</v>
      </c>
      <c r="B5" s="7" t="s">
        <v>28</v>
      </c>
      <c r="C5" s="7">
        <v>9.787723793E9</v>
      </c>
      <c r="D5" s="7" t="s">
        <v>29</v>
      </c>
      <c r="E5" s="7" t="s">
        <v>30</v>
      </c>
      <c r="F5" s="7" t="s">
        <v>31</v>
      </c>
      <c r="G5" s="8">
        <v>46024.0</v>
      </c>
      <c r="H5" s="8">
        <v>46027.0</v>
      </c>
      <c r="I5" s="7">
        <v>250.0</v>
      </c>
      <c r="J5" s="9"/>
      <c r="K5" s="7">
        <f t="shared" ref="K5:K8" si="3">I5-J5</f>
        <v>250</v>
      </c>
      <c r="L5" s="7" t="s">
        <v>21</v>
      </c>
      <c r="M5" s="15"/>
      <c r="N5" s="9"/>
      <c r="O5" s="11" t="s">
        <v>22</v>
      </c>
      <c r="P5" s="12" t="str">
        <f t="shared" si="1"/>
        <v>https://wa.me/?text=%F0%9F%93%A2%20%2ASERVICE%20STATUS%20UPDATE%2A%0A%0AService%20ID%3A%202485%0ACustomer%3A%20MR.KRISHNAN%0AMobile%3A%209787723793%0ABrand%3A%20OTHER%20WATCHES%0AProblem%3A%20SERVIVE%0A%0AReceived%20Date%3A%2002-Jan-2026%0AExpected%20Delivery%20Date%3A%2005-Jan-2026%0ACurrent%20Status%3A%20%2ADelivered%2A%0A%0A%E2%9C%85%20Service%20update%20for%20information.%0A%0ABalance%20Amount%3A%20%E2%82%B9250%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4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>
        <v>2486.0</v>
      </c>
      <c r="B6" s="7" t="s">
        <v>32</v>
      </c>
      <c r="C6" s="7">
        <v>9.4434635574E10</v>
      </c>
      <c r="D6" s="7" t="s">
        <v>24</v>
      </c>
      <c r="E6" s="7" t="s">
        <v>33</v>
      </c>
      <c r="F6" s="7" t="s">
        <v>31</v>
      </c>
      <c r="G6" s="8">
        <v>46024.0</v>
      </c>
      <c r="H6" s="8">
        <v>46027.0</v>
      </c>
      <c r="I6" s="7">
        <v>350.0</v>
      </c>
      <c r="J6" s="9"/>
      <c r="K6" s="7">
        <f t="shared" si="3"/>
        <v>350</v>
      </c>
      <c r="L6" s="7" t="s">
        <v>21</v>
      </c>
      <c r="M6" s="15"/>
      <c r="N6" s="9"/>
      <c r="O6" s="11" t="s">
        <v>22</v>
      </c>
      <c r="P6" s="12" t="str">
        <f t="shared" si="1"/>
        <v>https://wa.me/?text=%F0%9F%93%A2%20%2ASERVICE%20STATUS%20UPDATE%2A%0A%0AService%20ID%3A%202486%0ACustomer%3A%20MR.VENKAT%20RAMAN%0AMobile%3A%2094434635574%0ABrand%3A%20TITAN%0AProblem%3A%20SERVIVE%0A%0AReceived%20Date%3A%2002-Jan-2026%0AExpected%20Delivery%20Date%3A%2005-Jan-2026%0ACurrent%20Status%3A%20%2ADelivered%2A%0A%0A%E2%9C%85%20Service%20update%20for%20information.%0A%0ABalance%20Amount%3A%20%E2%82%B9350%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4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>
        <f t="shared" ref="A7:A8" si="5">A6+1</f>
        <v>2487</v>
      </c>
      <c r="B7" s="7" t="s">
        <v>34</v>
      </c>
      <c r="C7" s="7">
        <v>9.487038702E9</v>
      </c>
      <c r="D7" s="7" t="s">
        <v>29</v>
      </c>
      <c r="E7" s="7" t="s">
        <v>35</v>
      </c>
      <c r="F7" s="7" t="s">
        <v>36</v>
      </c>
      <c r="G7" s="8">
        <v>46024.0</v>
      </c>
      <c r="H7" s="8">
        <v>46026.0</v>
      </c>
      <c r="I7" s="7">
        <v>0.0</v>
      </c>
      <c r="J7" s="9"/>
      <c r="K7" s="7">
        <f t="shared" si="3"/>
        <v>0</v>
      </c>
      <c r="L7" s="7" t="s">
        <v>21</v>
      </c>
      <c r="M7" s="10">
        <v>46035.0</v>
      </c>
      <c r="N7" s="9"/>
      <c r="O7" s="11" t="s">
        <v>22</v>
      </c>
      <c r="P7" s="12" t="str">
        <f t="shared" si="1"/>
        <v>https://wa.me/?text=%F0%9F%93%A2%20%2ASERVICE%20STATUS%20UPDATE%2A%0A%0AService%20ID%3A%202487%0ACustomer%3A%20MR.RAJABOOPATHI%0AMobile%3A%209487038702%0ABrand%3A%20OTHER%20WATCHES%0AProblem%3A%20RE%20SERVICE%0A%0AReceived%20Date%3A%2002-Jan-2026%0AExpected%20Delivery%20Date%3A%2004-Jan-2026%0ACurrent%20Status%3A%20%2ADelivered%2A%0A%0A%E2%9C%85%20Service%20update%20for%20information.%0A%0ABalance%20Amount%3A%20%E2%82%B90%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4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%F0%9F%94%B4%202492%20%7C%20Rec%3A%2004-Jan%20%7C%20Exp%3A%2014-Jan%0A%F0%9F%94%B4%202492%20%7C%20Rec%3A%2004-Jan%20%7C%20Exp%3A%2014-Jan%0A%F0%9F%94%B4%202496%20%7C%20Rec%3A%2005-Jan%20%7C%20Exp%3A%2009-Jan%0A%F0%9F%94%B4%202497%20%7C%20Rec%3A%2005-Jan%20%7C%20Exp%3A%2009-Jan%0A%F0%9F%94%B4%202504%20%7C%20Rec%3A%2008-Jan%20%7C%20Exp%3A%2011-Jan%0A%F0%9F%94%B4%202505%20%7C%20Rec%3A%2009-Jan%20%7C%20Exp%3A%2013-Jan%0A%F0%9F%94%B4%202505%20%7C%20Rec%3A%2009-Jan%20%7C%20Exp%3A%2013-Jan%0A%F0%9F%94%B4%202507%20%7C%20Rec%3A%2011-Jan%20%7C%20Exp%3A%2021-Jan%0A%F0%9F%94%B4%202508%20%7C%20Rec%3A%2011-Jan%20%7C%20Exp%3A%2014-Jan%0A%F0%9F%94%B4%202509%20%7C%20Rec%3A%2012-Jan%20%7C%20Exp%3A%2014-Jan%0A%F0%9F%94%B4%202510%20%7C%20Rec%3A%2012-Jan%20%7C%20Exp%3A%2014-Jan%0A%0A%F0%9F%9F%A0%20DUE%20TODAY%0ANone%0A%0A%F0%9F%94%B5%20REMAINING%0ANone%0A%0A%E2%80%94%20SMART%20TIMES%20SERVICE</v>
      </c>
    </row>
    <row r="8">
      <c r="A8" s="9">
        <f t="shared" si="5"/>
        <v>2488</v>
      </c>
      <c r="B8" s="7" t="s">
        <v>37</v>
      </c>
      <c r="C8" s="7">
        <v>9.443264508E9</v>
      </c>
      <c r="D8" s="7" t="s">
        <v>24</v>
      </c>
      <c r="E8" s="7" t="s">
        <v>38</v>
      </c>
      <c r="F8" s="7" t="s">
        <v>20</v>
      </c>
      <c r="G8" s="8">
        <v>46024.0</v>
      </c>
      <c r="H8" s="17">
        <v>46025.0</v>
      </c>
      <c r="I8" s="9"/>
      <c r="J8" s="9"/>
      <c r="K8" s="7">
        <f t="shared" si="3"/>
        <v>0</v>
      </c>
      <c r="L8" s="7" t="s">
        <v>21</v>
      </c>
      <c r="M8" s="10">
        <v>46029.0</v>
      </c>
      <c r="N8" s="9"/>
      <c r="O8" s="11"/>
      <c r="P8" s="13" t="str">
        <f t="shared" si="1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4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/>
      <c r="R9" s="13"/>
    </row>
    <row r="10">
      <c r="A10" s="7">
        <v>2489.0</v>
      </c>
      <c r="B10" s="7" t="s">
        <v>39</v>
      </c>
      <c r="C10" s="7">
        <v>9.791280413E9</v>
      </c>
      <c r="D10" s="7" t="s">
        <v>40</v>
      </c>
      <c r="E10" s="7" t="s">
        <v>41</v>
      </c>
      <c r="F10" s="7" t="s">
        <v>42</v>
      </c>
      <c r="G10" s="17">
        <v>46025.0</v>
      </c>
      <c r="H10" s="17">
        <v>46026.0</v>
      </c>
      <c r="I10" s="9"/>
      <c r="J10" s="9"/>
      <c r="K10" s="7">
        <f t="shared" ref="K10:K12" si="6">I10-J10</f>
        <v>0</v>
      </c>
      <c r="L10" s="7" t="s">
        <v>27</v>
      </c>
      <c r="M10" s="15"/>
      <c r="N10" s="9"/>
      <c r="O10" s="11" t="s">
        <v>22</v>
      </c>
      <c r="P10" s="12" t="str">
        <f t="shared" ref="P10:P16" si="7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202489%0ACustomer%3A%20MR.PERIYA%20SWMAY%0AMobile%3A%209791280413%0ABrand%3A%20SONATA%0AProblem%3A%20MG%2BCROWN%20BUTTON%0A%0AReceived%20Date%3A%2003-Jan-2026%0AExpected%20Delivery%20Date%3A%2004-Jan-2026%0ACurrent%20Status%3A%20%2AReady%2A%0A%0A%E2%9C%85%20Service%20update%20for%20information.%0A%0ABalance%20Amount%3A%20%E2%82%B90%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https://wa.me/919791280413?text=%F0%9F%93%A2%20%2ASERVICE%20READY%20%E2%80%93%20READY%20FOR%20COLLECTION%2A%0A%0A%F0%9F%93%8C%20%2AEnglish%2A%0ADear%20MR.PERIYA%20SWMAY%2C%0AYour%20watch%20service%20is%20completed%20and%20ready%20for%20collection.%0ABrand"&amp;"%3A%20SONATA%0AProblem%3A%20MG%2BCROWN%20BUTTON%0AReceived%20Date%3A%2003-Jan-2026%0AReady%20Date%3A%2004-Jan-2026%0ABalance%20Amount%3A%20%E2%82%B90%0A%0A%F0%9F%93%8D%20%2AShop%20Address%3A%2A%0ASMART%20TIMES%2C%0A8%2F107%2C%20Pennagaram%20Main%20Road%2C"&amp;"%0ANext%20to%20R.C%20Church%2C%0ADharmapuri%20%E2%80%93%20636701%0A%0A%F0%9F%97%BA%20%2AGoogle%20Map%3A%2A%20https%3A%2F%2Fmaps.app.goo.gl%2FDpPkfna7HQttxYXn9%0A%0A%F0%9F%93%8C%20%2A%E0%AE%A4%E0%AE%AE%E0%AE%BF%E0%AE%B4%E0%AF%8D%2A%0A%E0%AE%B5%E0%AE%A3%E0%"&amp;"AE%95%E0%AF%8D%E0%AE%95%E0%AE%AE%E0%AF%8D%20MR.PERIYA%20SWMAY%2C%0A%E0%AE%89%E0%AE%99%E0%AF%8D%E0%AE%95%E0%AE%B3%E0%AF%8D%20%E0%AE%95%E0%AE%9F%E0%AE%BF%E0%AE%95%E0%AE%BE%E0%AE%B0%20%E0%AE%9A%E0%AE%B0%E0%AF%8D%E0%AE%B5%E0%AF%80%E0%AE%B8%E0%AF%8D%20%E0%AE%A"&amp;"E%E0%AF%81%E0%AE%9F%E0%AE%BF%E0%AE%A8%E0%AF%8D%E0%AE%A4%E0%AF%81%2C%20%E0%AE%AA%E0%AF%86%E0%AE%B1%E0%AF%8D%E0%AE%B1%E0%AF%81%E0%AE%95%E0%AF%8D%E0%AE%95%E0%AF%8A%E0%AE%B3%E0%AF%8D%E0%AE%B3%20%E0%AE%A4%E0%AE%AF%E0%AE%BE%E0%AE%B0%E0%AE%BE%E0%AE%95%20%E0%AE%8"&amp;"9%E0%AE%B3%E0%AF%8D%E0%AE%B3%E0%AE%A4%E0%AF%81.%0A%E0%AE%A4%E0%AE%AF%E0%AE%B5%E0%AF%81%E0%AE%9A%E0%AF%86%E0%AE%AF%E0%AF%8D%E0%AE%A4%E0%AF%81%20%E0%AE%95%E0%AE%9F%E0%AF%88%E0%AE%95%E0%AF%8D%E0%AE%95%E0%AF%81%20%E0%AE%B5%E0%AE%A8%E0%AF%8D%E0%AE%A4%E0%AF%81%"&amp;"20%E0%AE%AA%E0%AF%86%E0%AE%B1%E0%AF%8D%E0%AE%B1%E0%AF%81%E0%AE%95%E0%AF%8D%E0%AE%95%E0%AF%8A%E0%AE%B3%E0%AF%8D%E0%AE%B3%E0%AE%B5%E0%AF%81%E0%AE%AE%E0%AF%8D.%0A%E0%AE%AA%E0%AE%BF%E0%AE%B0%E0%AE%BE%E0%AE%A3%E0%AF%8D%E0%AE%9F%E0%AF%8D%3A%20SONATA%0A%E0%AE%AA"&amp;"%E0%AF%86%E0%AE%B1%E0%AE%AA%E0%AF%8D%E0%AE%AA%E0%AE%9F%E0%AF%8D%E0%AE%9F%20%E0%AE%A4%E0%AF%87%E0%AE%A4%E0%AE%BF%3A%2003-Jan-2026%0A%E0%AE%A4%E0%AE%AF%E0%AE%BE%E0%AE%B0%E0%AF%8D%20%E0%AE%A4%E0%AF%87%E0%AE%A4%E0%AE%BF%3A%2004-Jan-2026%0A%E0%AE%AE%E0%AF%80%E"&amp;"0%AE%A4%E0%AE%A4%E0%AF%8D%20%E0%AE%A4%E0%AF%8A%E0%AE%95%E0%AF%88%3A%20%E2%82%B90%0A%0A%F0%9F%97%BA%20%2AGoogle%20Map%3A%2A%20https%3A%2F%2Fmaps.app.goo.gl%2FDpPkfna7HQttxYXn9%0A%0A%F0%9F%99%8F%20SMART%20TIMES%20SERVICE")</f>
        <v>https://wa.me/919791280413?text=%F0%9F%93%A2%20%2ASERVICE%20READY%20%E2%80%93%20READY%20FOR%20COLLECTION%2A%0A%0A%F0%9F%93%8C%20%2AEnglish%2A%0ADear%20MR.PERIYA%20SWMAY%2C%0AYour%20watch%20service%20is%20completed%20and%20ready%20for%20collection.%0ABrand%3A%20SONATA%0AProblem%3A%20MG%2BCROWN%20BUTTON%0AReceived%20Date%3A%2003-Jan-2026%0AReady%20Date%3A%2004-Jan-2026%0ABalance%20Amount%3A%20%E2%82%B90%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.PERIYA%20SWMAY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SONATA%0A%E0%AE%AA%E0%AF%86%E0%AE%B1%E0%AE%AA%E0%AF%8D%E0%AE%AA%E0%AE%9F%E0%AF%8D%E0%AE%9F%20%E0%AE%A4%E0%AF%87%E0%AE%A4%E0%AE%BF%3A%2003-Jan-2026%0A%E0%AE%A4%E0%AE%AF%E0%AE%BE%E0%AE%B0%E0%AF%8D%20%E0%AE%A4%E0%AF%87%E0%AE%A4%E0%AE%BF%3A%2004-Jan-2026%0A%E0%AE%AE%E0%AF%80%E0%AE%A4%E0%AE%A4%E0%AF%8D%20%E0%AE%A4%E0%AF%8A%E0%AE%95%E0%AF%88%3A%20%E2%82%B90%0A%0A%F0%9F%97%BA%20%2AGoogle%20Map%3A%2A%20https%3A%2F%2Fmaps.app.goo.gl%2FDpPkfna7HQttxYXn9%0A%0A%F0%9F%99%8F%20SMART%20TIMES%20SERVICE</v>
      </c>
      <c r="R10" s="12" t="str">
        <f t="shared" ref="R10:R16" si="8">HYPERLINK(Q10,"🟢 SEND WHATSAPP")</f>
        <v>🟢 SEND WHATSAPP</v>
      </c>
    </row>
    <row r="11">
      <c r="A11" s="9">
        <f t="shared" ref="A11:A12" si="9">A10+1</f>
        <v>2490</v>
      </c>
      <c r="B11" s="7" t="s">
        <v>43</v>
      </c>
      <c r="C11" s="7">
        <v>8.344720406E9</v>
      </c>
      <c r="D11" s="7" t="s">
        <v>29</v>
      </c>
      <c r="E11" s="7" t="s">
        <v>44</v>
      </c>
      <c r="F11" s="7" t="s">
        <v>45</v>
      </c>
      <c r="G11" s="17">
        <v>46025.0</v>
      </c>
      <c r="H11" s="17">
        <v>46026.0</v>
      </c>
      <c r="I11" s="9"/>
      <c r="J11" s="9"/>
      <c r="K11" s="7">
        <f t="shared" si="6"/>
        <v>0</v>
      </c>
      <c r="L11" s="7" t="s">
        <v>46</v>
      </c>
      <c r="M11" s="10">
        <v>46027.0</v>
      </c>
      <c r="N11" s="18" t="s">
        <v>47</v>
      </c>
      <c r="O11" s="11" t="s">
        <v>22</v>
      </c>
      <c r="P11" s="12" t="str">
        <f t="shared" si="7"/>
        <v>https://wa.me/?text=%F0%9F%93%A2%20%2ASERVICE%20STATUS%20UPDATE%2A%0A%0AService%20ID%3A%202490%0ACustomer%3A%20MR.MANDHARAN%0AMobile%3A%208344720406%0ABrand%3A%20OTHER%20WATCHES%0AProblem%3A%20KEY%20BUTTON%0A%0AReceived%20Date%3A%2003-Jan-2026%0AExpected%20Delivery%20Date%3A%2004-Jan-2026%0ACurrent%20Status%3A%20%2AReturned%2A%0A%0A%E2%9C%85%20Service%20update%20for%20information.%0A%0ABalance%20Amount%3A%20%E2%82%B90%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8"/>
        <v>🟢 SEND WHATSAPP</v>
      </c>
    </row>
    <row r="12">
      <c r="A12" s="9">
        <f t="shared" si="9"/>
        <v>2491</v>
      </c>
      <c r="B12" s="7" t="s">
        <v>48</v>
      </c>
      <c r="C12" s="7">
        <v>8.248071974E9</v>
      </c>
      <c r="D12" s="7" t="s">
        <v>49</v>
      </c>
      <c r="E12" s="7" t="s">
        <v>50</v>
      </c>
      <c r="F12" s="7" t="s">
        <v>51</v>
      </c>
      <c r="G12" s="17">
        <v>46025.0</v>
      </c>
      <c r="H12" s="17">
        <v>46029.0</v>
      </c>
      <c r="I12" s="7">
        <v>500.0</v>
      </c>
      <c r="J12" s="9"/>
      <c r="K12" s="7">
        <f t="shared" si="6"/>
        <v>500</v>
      </c>
      <c r="L12" s="7" t="s">
        <v>21</v>
      </c>
      <c r="M12" s="10">
        <v>46029.0</v>
      </c>
      <c r="N12" s="9"/>
      <c r="O12" s="11" t="s">
        <v>22</v>
      </c>
      <c r="P12" s="12" t="str">
        <f t="shared" si="7"/>
        <v>https://wa.me/?text=%F0%9F%93%A2%20%2ASERVICE%20STATUS%20UPDATE%2A%0A%0AService%20ID%3A%202491%0ACustomer%3A%20MR.NAVEEN%20KUMAR%0AMobile%3A%208248071974%0ABrand%3A%20SMART%20WATCH%0AProblem%3A%20BATTERY%20DRAIN%0A%0AReceived%20Date%3A%2003-Jan-2026%0AExpected%20Delivery%20Date%3A%2007-Jan-2026%0ACurrent%20Status%3A%20%2ADelivered%2A%0A%0A%E2%9C%85%20Service%20update%20for%20information.%0A%0ABalance%20Amount%3A%20%E2%82%B9500%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8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7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8"/>
        <v>🟢 SEND WHATSAPP</v>
      </c>
    </row>
    <row r="14">
      <c r="A14" s="7">
        <v>2492.0</v>
      </c>
      <c r="B14" s="7" t="s">
        <v>52</v>
      </c>
      <c r="C14" s="7">
        <v>8.07220449E9</v>
      </c>
      <c r="D14" s="7" t="s">
        <v>53</v>
      </c>
      <c r="E14" s="7" t="s">
        <v>54</v>
      </c>
      <c r="F14" s="7" t="s">
        <v>55</v>
      </c>
      <c r="G14" s="17">
        <v>46026.0</v>
      </c>
      <c r="H14" s="17">
        <v>46036.0</v>
      </c>
      <c r="I14" s="9"/>
      <c r="J14" s="9"/>
      <c r="K14" s="7">
        <f>I14-J14</f>
        <v>0</v>
      </c>
      <c r="L14" s="7" t="s">
        <v>56</v>
      </c>
      <c r="M14" s="15"/>
      <c r="N14" s="9"/>
      <c r="O14" s="11" t="s">
        <v>22</v>
      </c>
      <c r="P14" s="12" t="str">
        <f t="shared" si="7"/>
        <v>https://wa.me/?text=%F0%9F%93%A2%20%2ASERVICE%20STATUS%20UPDATE%2A%0A%0AService%20ID%3A%202492%0ACustomer%3A%20MR.RAJA%20PANDI%0AMobile%3A%208072204490%0ABrand%3A%20FASTRACK%0AProblem%3A%20MG%2BSERVIVE%0A%0AReceived%20Date%3A%2004-Jan-2026%0AExpected%20Delivery%20Date%3A%2014-Jan-2026%0ACurrent%20Status%3A%20%2APending%20%2A%0A%0A%E2%9C%85%20Service%20update%20for%20information.%0A%0ABalance%20Amount%3A%20%E2%82%B90%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8"/>
        <v>🟢 SEND WHATSAPP</v>
      </c>
      <c r="S14" s="14" t="str">
        <f t="shared" ref="S14:S15" si="10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>
        <v>2492.0</v>
      </c>
      <c r="B15" s="7" t="s">
        <v>52</v>
      </c>
      <c r="C15" s="7">
        <v>8.07220449E9</v>
      </c>
      <c r="D15" s="7" t="s">
        <v>24</v>
      </c>
      <c r="E15" s="7" t="s">
        <v>57</v>
      </c>
      <c r="F15" s="7" t="s">
        <v>58</v>
      </c>
      <c r="G15" s="17">
        <v>46026.0</v>
      </c>
      <c r="H15" s="17">
        <v>46036.0</v>
      </c>
      <c r="I15" s="9"/>
      <c r="J15" s="9"/>
      <c r="K15" s="7"/>
      <c r="L15" s="7" t="s">
        <v>56</v>
      </c>
      <c r="M15" s="15"/>
      <c r="N15" s="9"/>
      <c r="O15" s="11" t="s">
        <v>22</v>
      </c>
      <c r="P15" s="12" t="str">
        <f t="shared" si="7"/>
        <v>https://wa.me/?text=%F0%9F%93%A2%20%2ASERVICE%20STATUS%20UPDATE%2A%0A%0AService%20ID%3A%202492%0ACustomer%3A%20MR.RAJA%20PANDI%0AMobile%3A%208072204490%0ABrand%3A%20TITAN%0AProblem%3A%20CUP%2BSERVIVE%0A%0AReceived%20Date%3A%2004-Jan-2026%0AExpected%20Delivery%20Date%3A%2014-Jan-2026%0ACurrent%20Status%3A%20%2APending%20%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8"/>
        <v>🟢 SEND WHATSAPP</v>
      </c>
      <c r="S15" s="14" t="str">
        <f t="shared" si="10"/>
        <v/>
      </c>
    </row>
    <row r="16">
      <c r="A16" s="9">
        <f>A14+1</f>
        <v>2493</v>
      </c>
      <c r="B16" s="7" t="s">
        <v>59</v>
      </c>
      <c r="C16" s="7">
        <v>8.344805985E9</v>
      </c>
      <c r="D16" s="7" t="s">
        <v>24</v>
      </c>
      <c r="E16" s="7" t="s">
        <v>60</v>
      </c>
      <c r="F16" s="7" t="s">
        <v>61</v>
      </c>
      <c r="G16" s="17">
        <v>46026.0</v>
      </c>
      <c r="H16" s="17">
        <v>46026.0</v>
      </c>
      <c r="I16" s="7">
        <v>1500.0</v>
      </c>
      <c r="J16" s="9"/>
      <c r="K16" s="7">
        <f>I16-J16</f>
        <v>1500</v>
      </c>
      <c r="L16" s="7" t="s">
        <v>27</v>
      </c>
      <c r="M16" s="15"/>
      <c r="N16" s="9"/>
      <c r="O16" s="11" t="s">
        <v>22</v>
      </c>
      <c r="P16" s="12" t="str">
        <f t="shared" si="7"/>
        <v>https://wa.me/?text=%F0%9F%93%A2%20%2ASERVICE%20STATUS%20UPDATE%2A%0A%0AService%20ID%3A%202493%0ACustomer%3A%20MR.MANI%20VEL%0AMobile%3A%208344805985%0ABrand%3A%20TITAN%0AProblem%3A%20CASE%2BCHAIN%2BBATTERY%28721%29%0A%0AReceived%20Date%3A%2004-Jan-2026%0AExpected%20Delivery%20Date%3A%2004-Jan-2026%0ACurrent%20Status%3A%20%2AReady%2A%0A%0A%E2%9C%85%20Service%20update%20for%20information.%0A%0ABalance%20Amount%3A%20%E2%82%B91500%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https://wa.me/918344805985?text=%F0%9F%93%A2%20%2ASERVICE%20READY%20%E2%80%93%20READY%20FOR%20COLLECTION%2A%0A%0A%F0%9F%93%8C%20%2AEnglish%2A%0ADear%20MR.MANI%20VEL%2C%0AYour%20watch%20service%20is%20completed%20and%20ready%20for%20collection.%0ABrand%3A%"&amp;"20TITAN%0AProblem%3A%20CASE%2BCHAIN%2BBATTERY%28721%29%0AReceived%20Date%3A%2004-Jan-2026%0AReady%20Date%3A%2004-Jan-2026%0ABalance%20Amount%3A%20%E2%82%B91500%0A%0A%F0%9F%93%8D%20%2AShop%20Address%3A%2A%0ASMART%20TIMES%2C%0A8%2F107%2C%20Pennagaram%20Main"&amp;"%20Road%2C%0ANext%20to%20R.C%20Church%2C%0ADharmapuri%20%E2%80%93%20636701%0A%0A%F0%9F%97%BA%20%2AGoogle%20Map%3A%2A%20https%3A%2F%2Fmaps.app.goo.gl%2FDpPkfna7HQttxYXn9%0A%0A%F0%9F%93%8C%20%2A%E0%AE%A4%E0%AE%AE%E0%AE%BF%E0%AE%B4%E0%AF%8D%2A%0A%E0%AE%B5%E0"&amp;"%AE%A3%E0%AE%95%E0%AF%8D%E0%AE%95%E0%AE%AE%E0%AF%8D%20MR.MANI%20VEL%2C%0A%E0%AE%89%E0%AE%99%E0%AF%8D%E0%AE%95%E0%AE%B3%E0%AF%8D%20%E0%AE%95%E0%AE%9F%E0%AE%BF%E0%AE%95%E0%AE%BE%E0%AE%B0%20%E0%AE%9A%E0%AE%B0%E0%AF%8D%E0%AE%B5%E0%AF%80%E0%AE%B8%E0%AF%8D%20%E"&amp;"0%AE%AE%E0%AF%81%E0%AE%9F%E0%AE%BF%E0%AE%A8%E0%AF%8D%E0%AE%A4%E0%AF%81%2C%20%E0%AE%AA%E0%AF%86%E0%AE%B1%E0%AF%8D%E0%AE%B1%E0%AF%81%E0%AE%95%E0%AF%8D%E0%AE%95%E0%AF%8A%E0%AE%B3%E0%AF%8D%E0%AE%B3%20%E0%AE%A4%E0%AE%AF%E0%AE%BE%E0%AE%B0%E0%AE%BE%E0%AE%95%20%E"&amp;"0%AE%89%E0%AE%B3%E0%AF%8D%E0%AE%B3%E0%AE%A4%E0%AF%81.%0A%E0%AE%A4%E0%AE%AF%E0%AE%B5%E0%AF%81%E0%AE%9A%E0%AF%86%E0%AE%AF%E0%AF%8D%E0%AE%A4%E0%AF%81%20%E0%AE%95%E0%AE%9F%E0%AF%88%E0%AE%95%E0%AF%8D%E0%AE%95%E0%AF%81%20%E0%AE%B5%E0%AE%A8%E0%AF%8D%E0%AE%A4%E0%"&amp;"AF%81%20%E0%AE%AA%E0%AF%86%E0%AE%B1%E0%AF%8D%E0%AE%B1%E0%AF%81%E0%AE%95%E0%AF%8D%E0%AE%95%E0%AF%8A%E0%AE%B3%E0%AF%8D%E0%AE%B3%E0%AE%B5%E0%AF%81%E0%AE%AE%E0%AF%8D.%0A%E0%AE%AA%E0%AE%BF%E0%AE%B0%E0%AE%BE%E0%AE%A3%E0%AF%8D%E0%AE%9F%E0%AF%8D%3A%20TITAN%0A%E0%"&amp;"AE%AA%E0%AF%86%E0%AE%B1%E0%AE%AA%E0%AF%8D%E0%AE%AA%E0%AE%9F%E0%AF%8D%E0%AE%9F%20%E0%AE%A4%E0%AF%87%E0%AE%A4%E0%AE%BF%3A%2004-Jan-2026%0A%E0%AE%A4%E0%AE%AF%E0%AE%BE%E0%AE%B0%E0%AF%8D%20%E0%AE%A4%E0%AF%87%E0%AE%A4%E0%AE%BF%3A%2004-Jan-2026%0A%E0%AE%AE%E0%AF"&amp;"%80%E0%AE%A4%E0%AE%A4%E0%AF%8D%20%E0%AE%A4%E0%AF%8A%E0%AE%95%E0%AF%88%3A%20%E2%82%B91500%0A%0A%F0%9F%97%BA%20%2AGoogle%20Map%3A%2A%20https%3A%2F%2Fmaps.app.goo.gl%2FDpPkfna7HQttxYXn9%0A%0A%F0%9F%99%8F%20SMART%20TIMES%20SERVICE")</f>
        <v>https://wa.me/918344805985?text=%F0%9F%93%A2%20%2ASERVICE%20READY%20%E2%80%93%20READY%20FOR%20COLLECTION%2A%0A%0A%F0%9F%93%8C%20%2AEnglish%2A%0ADear%20MR.MANI%20VEL%2C%0AYour%20watch%20service%20is%20completed%20and%20ready%20for%20collection.%0ABrand%3A%20TITAN%0AProblem%3A%20CASE%2BCHAIN%2BBATTERY%28721%29%0AReceived%20Date%3A%2004-Jan-2026%0AReady%20Date%3A%2004-Jan-2026%0ABalance%20Amount%3A%20%E2%82%B91500%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.MANI%20VEL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TITAN%0A%E0%AE%AA%E0%AF%86%E0%AE%B1%E0%AE%AA%E0%AF%8D%E0%AE%AA%E0%AE%9F%E0%AF%8D%E0%AE%9F%20%E0%AE%A4%E0%AF%87%E0%AE%A4%E0%AE%BF%3A%2004-Jan-2026%0A%E0%AE%A4%E0%AE%AF%E0%AE%BE%E0%AE%B0%E0%AF%8D%20%E0%AE%A4%E0%AF%87%E0%AE%A4%E0%AE%BF%3A%2004-Jan-2026%0A%E0%AE%AE%E0%AF%80%E0%AE%A4%E0%AE%A4%E0%AF%8D%20%E0%AE%A4%E0%AF%8A%E0%AE%95%E0%AF%88%3A%20%E2%82%B91500%0A%0A%F0%9F%97%BA%20%2AGoogle%20Map%3A%2A%20https%3A%2F%2Fmaps.app.goo.gl%2FDpPkfna7HQttxYXn9%0A%0A%F0%9F%99%8F%20SMART%20TIMES%20SERVICE</v>
      </c>
      <c r="R16" s="12" t="str">
        <f t="shared" si="8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>
        <f>A16+1</f>
        <v>2494</v>
      </c>
      <c r="B18" s="7" t="s">
        <v>62</v>
      </c>
      <c r="C18" s="7">
        <v>9.543888461E9</v>
      </c>
      <c r="D18" s="7" t="s">
        <v>24</v>
      </c>
      <c r="E18" s="7" t="s">
        <v>63</v>
      </c>
      <c r="F18" s="7" t="s">
        <v>36</v>
      </c>
      <c r="G18" s="17">
        <v>46026.0</v>
      </c>
      <c r="H18" s="7" t="s">
        <v>64</v>
      </c>
      <c r="I18" s="7">
        <v>0.0</v>
      </c>
      <c r="J18" s="9"/>
      <c r="K18" s="7">
        <f t="shared" ref="K18:K21" si="11">I18-J18</f>
        <v>0</v>
      </c>
      <c r="L18" s="7" t="s">
        <v>21</v>
      </c>
      <c r="M18" s="10">
        <v>46031.0</v>
      </c>
      <c r="N18" s="9"/>
      <c r="O18" s="11" t="s">
        <v>22</v>
      </c>
      <c r="P18" s="12" t="str">
        <f t="shared" ref="P18:P21" si="12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202494%0ACustomer%3A%20MR.SURESH%0AMobile%3A%209543888461%0ABrand%3A%20TITAN%0AProblem%3A%20RE%20SERVICE%0A%0AReceived%20Date%3A%2004-Jan-2026%0AExpected%20Delivery%20Date%3A%20%3B%0ACurrent%20Status%3A%20%2ADelivered%2A%0A%0A%E2%9C%85%20Service%20update%20for%20information.%0A%0ABalance%20Amount%3A%20%E2%82%B90%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13">HYPERLINK(Q18,"🟢 SEND WHATSAPP")</f>
        <v>🟢 SEND WHATSAPP</v>
      </c>
      <c r="S18" s="14" t="str">
        <f t="shared" ref="S18:S21" si="14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>
        <f t="shared" ref="A19:A21" si="15">A18+1</f>
        <v>2495</v>
      </c>
      <c r="B19" s="7" t="s">
        <v>65</v>
      </c>
      <c r="C19" s="7">
        <v>9.952347349E9</v>
      </c>
      <c r="D19" s="7" t="s">
        <v>49</v>
      </c>
      <c r="E19" s="7" t="s">
        <v>66</v>
      </c>
      <c r="F19" s="7" t="s">
        <v>67</v>
      </c>
      <c r="G19" s="17">
        <v>46027.0</v>
      </c>
      <c r="H19" s="17">
        <v>46037.0</v>
      </c>
      <c r="I19" s="9"/>
      <c r="J19" s="9"/>
      <c r="K19" s="7">
        <f t="shared" si="11"/>
        <v>0</v>
      </c>
      <c r="L19" s="7" t="s">
        <v>27</v>
      </c>
      <c r="M19" s="15"/>
      <c r="N19" s="18" t="s">
        <v>47</v>
      </c>
      <c r="O19" s="11" t="s">
        <v>22</v>
      </c>
      <c r="P19" s="12" t="str">
        <f t="shared" si="12"/>
        <v>https://wa.me/?text=%F0%9F%93%A2%20%2ASERVICE%20STATUS%20UPDATE%2A%0A%0AService%20ID%3A%202495%0ACustomer%3A%20MR.M.UMA%20PATHY%0AMobile%3A%209952347349%0ABrand%3A%20SMART%20WATCH%0AProblem%3A%20BATTERY%0A%0AReceived%20Date%3A%2005-Jan-2026%0AExpected%20Delivery%20Date%3A%2015-Jan-2026%0ACurrent%20Status%3A%20%2AReady%2A%0A%0A%E2%9C%85%20Service%20update%20for%20information.%0A%0ABalance%20Amount%3A%20%E2%82%B90%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https://wa.me/919952347349?text=%F0%9F%93%A2%20%2ASERVICE%20READY%20%E2%80%93%20READY%20FOR%20COLLECTION%2A%0A%0A%F0%9F%93%8C%20%2AEnglish%2A%0ADear%20MR.M.UMA%20PATHY%2C%0AYour%20watch%20service%20is%20completed%20and%20ready%20for%20collection.%0ABrand%"&amp;"3A%20SMART%20WATCH%0AProblem%3A%20BATTERY%0AReceived%20Date%3A%2005-Jan-2026%0AReady%20Date%3A%2015-Jan-2026%0ABalance%20Amount%3A%20%E2%82%B90%0A%0A%F0%9F%93%8D%20%2AShop%20Address%3A%2A%0ASMART%20TIMES%2C%0A8%2F107%2C%20Pennagaram%20Main%20Road%2C%0ANex"&amp;"t%20to%20R.C%20Church%2C%0ADharmapuri%20%E2%80%93%20636701%0A%0A%F0%9F%97%BA%20%2AGoogle%20Map%3A%2A%20https%3A%2F%2Fmaps.app.goo.gl%2FDpPkfna7HQttxYXn9%0A%0A%F0%9F%93%8C%20%2A%E0%AE%A4%E0%AE%AE%E0%AE%BF%E0%AE%B4%E0%AF%8D%2A%0A%E0%AE%B5%E0%AE%A3%E0%AE%95%"&amp;"E0%AF%8D%E0%AE%95%E0%AE%AE%E0%AF%8D%20MR.M.UMA%20PATHY%2C%0A%E0%AE%89%E0%AE%99%E0%AF%8D%E0%AE%95%E0%AE%B3%E0%AF%8D%20%E0%AE%95%E0%AE%9F%E0%AE%BF%E0%AE%95%E0%AE%BE%E0%AE%B0%20%E0%AE%9A%E0%AE%B0%E0%AF%8D%E0%AE%B5%E0%AF%80%E0%AE%B8%E0%AF%8D%20%E0%AE%AE%E0%AF"&amp;"%81%E0%AE%9F%E0%AE%BF%E0%AE%A8%E0%AF%8D%E0%AE%A4%E0%AF%81%2C%20%E0%AE%AA%E0%AF%86%E0%AE%B1%E0%AF%8D%E0%AE%B1%E0%AF%81%E0%AE%95%E0%AF%8D%E0%AE%95%E0%AF%8A%E0%AE%B3%E0%AF%8D%E0%AE%B3%20%E0%AE%A4%E0%AE%AF%E0%AE%BE%E0%AE%B0%E0%AE%BE%E0%AE%95%20%E0%AE%89%E0%AE"&amp;"%B3%E0%AF%8D%E0%AE%B3%E0%AE%A4%E0%AF%81.%0A%E0%AE%A4%E0%AE%AF%E0%AE%B5%E0%AF%81%E0%AE%9A%E0%AF%86%E0%AE%AF%E0%AF%8D%E0%AE%A4%E0%AF%81%20%E0%AE%95%E0%AE%9F%E0%AF%88%E0%AE%95%E0%AF%8D%E0%AE%95%E0%AF%81%20%E0%AE%B5%E0%AE%A8%E0%AF%8D%E0%AE%A4%E0%AF%81%20%E0%A"&amp;"E%AA%E0%AF%86%E0%AE%B1%E0%AF%8D%E0%AE%B1%E0%AF%81%E0%AE%95%E0%AF%8D%E0%AE%95%E0%AF%8A%E0%AE%B3%E0%AF%8D%E0%AE%B3%E0%AE%B5%E0%AF%81%E0%AE%AE%E0%AF%8D.%0A%E0%AE%AA%E0%AE%BF%E0%AE%B0%E0%AE%BE%E0%AE%A3%E0%AF%8D%E0%AE%9F%E0%AF%8D%3A%20SMART%20WATCH%0A%E0%AE%AA"&amp;"%E0%AF%86%E0%AE%B1%E0%AE%AA%E0%AF%8D%E0%AE%AA%E0%AE%9F%E0%AF%8D%E0%AE%9F%20%E0%AE%A4%E0%AF%87%E0%AE%A4%E0%AE%BF%3A%2005-Jan-2026%0A%E0%AE%A4%E0%AE%AF%E0%AE%BE%E0%AE%B0%E0%AF%8D%20%E0%AE%A4%E0%AF%87%E0%AE%A4%E0%AE%BF%3A%2015-Jan-2026%0A%E0%AE%AE%E0%AF%80%E"&amp;"0%AE%A4%E0%AE%A4%E0%AF%8D%20%E0%AE%A4%E0%AF%8A%E0%AE%95%E0%AF%88%3A%20%E2%82%B90%0A%0A%F0%9F%97%BA%20%2AGoogle%20Map%3A%2A%20https%3A%2F%2Fmaps.app.goo.gl%2FDpPkfna7HQttxYXn9%0A%0A%F0%9F%99%8F%20SMART%20TIMES%20SERVICE")</f>
        <v>https://wa.me/919952347349?text=%F0%9F%93%A2%20%2ASERVICE%20READY%20%E2%80%93%20READY%20FOR%20COLLECTION%2A%0A%0A%F0%9F%93%8C%20%2AEnglish%2A%0ADear%20MR.M.UMA%20PATHY%2C%0AYour%20watch%20service%20is%20completed%20and%20ready%20for%20collection.%0ABrand%3A%20SMART%20WATCH%0AProblem%3A%20BATTERY%0AReceived%20Date%3A%2005-Jan-2026%0AReady%20Date%3A%2015-Jan-2026%0ABalance%20Amount%3A%20%E2%82%B90%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.M.UMA%20PATHY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SMART%20WATCH%0A%E0%AE%AA%E0%AF%86%E0%AE%B1%E0%AE%AA%E0%AF%8D%E0%AE%AA%E0%AE%9F%E0%AF%8D%E0%AE%9F%20%E0%AE%A4%E0%AF%87%E0%AE%A4%E0%AE%BF%3A%2005-Jan-2026%0A%E0%AE%A4%E0%AE%AF%E0%AE%BE%E0%AE%B0%E0%AF%8D%20%E0%AE%A4%E0%AF%87%E0%AE%A4%E0%AE%BF%3A%2015-Jan-2026%0A%E0%AE%AE%E0%AF%80%E0%AE%A4%E0%AE%A4%E0%AF%8D%20%E0%AE%A4%E0%AF%8A%E0%AE%95%E0%AF%88%3A%20%E2%82%B90%0A%0A%F0%9F%97%BA%20%2AGoogle%20Map%3A%2A%20https%3A%2F%2Fmaps.app.goo.gl%2FDpPkfna7HQttxYXn9%0A%0A%F0%9F%99%8F%20SMART%20TIMES%20SERVICE</v>
      </c>
      <c r="R19" s="12" t="str">
        <f t="shared" si="13"/>
        <v>🟢 SEND WHATSAPP</v>
      </c>
      <c r="S19" s="14" t="str">
        <f t="shared" si="14"/>
        <v/>
      </c>
    </row>
    <row r="20">
      <c r="A20" s="9">
        <f t="shared" si="15"/>
        <v>2496</v>
      </c>
      <c r="B20" s="7" t="s">
        <v>68</v>
      </c>
      <c r="C20" s="7">
        <v>9.04360647E9</v>
      </c>
      <c r="D20" s="7" t="s">
        <v>53</v>
      </c>
      <c r="E20" s="7" t="s">
        <v>69</v>
      </c>
      <c r="F20" s="7" t="s">
        <v>70</v>
      </c>
      <c r="G20" s="17">
        <v>46027.0</v>
      </c>
      <c r="H20" s="17">
        <v>46031.0</v>
      </c>
      <c r="I20" s="7">
        <v>450.0</v>
      </c>
      <c r="J20" s="9"/>
      <c r="K20" s="7">
        <f t="shared" si="11"/>
        <v>450</v>
      </c>
      <c r="L20" s="7" t="s">
        <v>56</v>
      </c>
      <c r="M20" s="15"/>
      <c r="N20" s="19"/>
      <c r="O20" s="11" t="s">
        <v>22</v>
      </c>
      <c r="P20" s="12" t="str">
        <f t="shared" si="12"/>
        <v>https://wa.me/?text=%F0%9F%93%A2%20%2ASERVICE%20STATUS%20UPDATE%2A%0A%0AService%20ID%3A%202496%0ACustomer%3A%20MR.SELVA%20KUMAR%0AMobile%3A%209043606470%0ABrand%3A%20FASTRACK%0AProblem%3A%20SERVICE%2BBATTERY%0A%0AReceived%20Date%3A%2005-Jan-2026%0AExpected%20Delivery%20Date%3A%2009-Jan-2026%0ACurrent%20Status%3A%20%2APending%20%2A%0A%0A%E2%9C%85%20Service%20update%20for%20information.%0A%0ABalance%20Amount%3A%20%E2%82%B9450%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13"/>
        <v>🟢 SEND WHATSAPP</v>
      </c>
      <c r="S20" s="14" t="str">
        <f t="shared" si="14"/>
        <v/>
      </c>
    </row>
    <row r="21">
      <c r="A21" s="9">
        <f t="shared" si="15"/>
        <v>2497</v>
      </c>
      <c r="B21" s="7" t="s">
        <v>71</v>
      </c>
      <c r="C21" s="7">
        <v>9.629862776E9</v>
      </c>
      <c r="D21" s="7" t="s">
        <v>53</v>
      </c>
      <c r="E21" s="7" t="s">
        <v>72</v>
      </c>
      <c r="F21" s="7" t="s">
        <v>73</v>
      </c>
      <c r="G21" s="17">
        <v>46027.0</v>
      </c>
      <c r="H21" s="17">
        <v>46031.0</v>
      </c>
      <c r="I21" s="9"/>
      <c r="J21" s="9"/>
      <c r="K21" s="7">
        <f t="shared" si="11"/>
        <v>0</v>
      </c>
      <c r="L21" s="7" t="s">
        <v>56</v>
      </c>
      <c r="M21" s="15"/>
      <c r="N21" s="9"/>
      <c r="O21" s="11" t="s">
        <v>22</v>
      </c>
      <c r="P21" s="12" t="str">
        <f t="shared" si="12"/>
        <v>https://wa.me/?text=%F0%9F%93%A2%20%2ASERVICE%20STATUS%20UPDATE%2A%0A%0AService%20ID%3A%202497%0ACustomer%3A%20MR.THIBOTH%0AMobile%3A%209629862776%0ABrand%3A%20FASTRACK%0AProblem%3A%20MG%2BSERVICE%2BBATTERY%0A%0AReceived%20Date%3A%2005-Jan-2026%0AExpected%20Delivery%20Date%3A%2009-Jan-2026%0ACurrent%20Status%3A%20%2APending%20%2A%0A%0A%E2%9C%85%20Service%20update%20for%20information.%0A%0ABalance%20Amount%3A%20%E2%82%B90%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13"/>
        <v>🟢 SEND WHATSAPP</v>
      </c>
      <c r="S21" s="14" t="str">
        <f t="shared" si="14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13"/>
        <v>🟢 SEND WHATSAPP</v>
      </c>
    </row>
    <row r="23">
      <c r="A23" s="9">
        <f>A21+1</f>
        <v>2498</v>
      </c>
      <c r="B23" s="7" t="s">
        <v>74</v>
      </c>
      <c r="C23" s="7">
        <v>9.566357413E9</v>
      </c>
      <c r="D23" s="7" t="s">
        <v>24</v>
      </c>
      <c r="E23" s="7" t="s">
        <v>75</v>
      </c>
      <c r="F23" s="7" t="s">
        <v>76</v>
      </c>
      <c r="G23" s="17">
        <v>46028.0</v>
      </c>
      <c r="H23" s="17">
        <v>46031.0</v>
      </c>
      <c r="I23" s="7">
        <v>450.0</v>
      </c>
      <c r="J23" s="9"/>
      <c r="K23" s="7">
        <f>I23-J23</f>
        <v>450</v>
      </c>
      <c r="L23" s="7" t="s">
        <v>27</v>
      </c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202498%0ACustomer%3A%20MR.SHANMUNGUM%0AMobile%3A%209566357413%0ABrand%3A%20TITAN%0AProblem%3A%20COIL%2BSERVICE%2BBATTERY%0A%0AReceived%20Date%3A%2006-Jan-2026%0AExpected%20Delivery%20Date%3A%2009-Jan-2026%0ACurrent%20Status%3A%20%2AReady%2A%0A%0A%E2%9C%85%20Service%20update%20for%20information.%0A%0ABalance%20Amount%3A%20%E2%82%B9450%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https://wa.me/919566357413?text=%F0%9F%93%A2%20%2ASERVICE%20READY%20%E2%80%93%20READY%20FOR%20COLLECTION%2A%0A%0A%F0%9F%93%8C%20%2AEnglish%2A%0ADear%20MR.SHANMUNGUM%2C%0AYour%20watch%20service%20is%20completed%20and%20ready%20for%20collection.%0ABrand%3A%"&amp;"20TITAN%0AProblem%3A%20COIL%2BSERVICE%2BBATTERY%0AReceived%20Date%3A%2006-Jan-2026%0AReady%20Date%3A%2009-Jan-2026%0ABalance%20Amount%3A%20%E2%82%B9450%0A%0A%F0%9F%93%8D%20%2AShop%20Address%3A%2A%0ASMART%20TIMES%2C%0A8%2F107%2C%20Pennagaram%20Main%20Road%"&amp;"2C%0ANext%20to%20R.C%20Church%2C%0ADharmapuri%20%E2%80%93%20636701%0A%0A%F0%9F%97%BA%20%2AGoogle%20Map%3A%2A%20https%3A%2F%2Fmaps.app.goo.gl%2FDpPkfna7HQttxYXn9%0A%0A%F0%9F%93%8C%20%2A%E0%AE%A4%E0%AE%AE%E0%AE%BF%E0%AE%B4%E0%AF%8D%2A%0A%E0%AE%B5%E0%AE%A3%E"&amp;"0%AE%95%E0%AF%8D%E0%AE%95%E0%AE%AE%E0%AF%8D%20MR.SHANMUNGUM%2C%0A%E0%AE%89%E0%AE%99%E0%AF%8D%E0%AE%95%E0%AE%B3%E0%AF%8D%20%E0%AE%95%E0%AE%9F%E0%AE%BF%E0%AE%95%E0%AE%BE%E0%AE%B0%20%E0%AE%9A%E0%AE%B0%E0%AF%8D%E0%AE%B5%E0%AF%80%E0%AE%B8%E0%AF%8D%20%E0%AE%AE%"&amp;"E0%AF%81%E0%AE%9F%E0%AE%BF%E0%AE%A8%E0%AF%8D%E0%AE%A4%E0%AF%81%2C%20%E0%AE%AA%E0%AF%86%E0%AE%B1%E0%AF%8D%E0%AE%B1%E0%AF%81%E0%AE%95%E0%AF%8D%E0%AE%95%E0%AF%8A%E0%AE%B3%E0%AF%8D%E0%AE%B3%20%E0%AE%A4%E0%AE%AF%E0%AE%BE%E0%AE%B0%E0%AE%BE%E0%AE%95%20%E0%AE%89%"&amp;"E0%AE%B3%E0%AF%8D%E0%AE%B3%E0%AE%A4%E0%AF%81.%0A%E0%AE%A4%E0%AE%AF%E0%AE%B5%E0%AF%81%E0%AE%9A%E0%AF%86%E0%AE%AF%E0%AF%8D%E0%AE%A4%E0%AF%81%20%E0%AE%95%E0%AE%9F%E0%AF%88%E0%AE%95%E0%AF%8D%E0%AE%95%E0%AF%81%20%E0%AE%B5%E0%AE%A8%E0%AF%8D%E0%AE%A4%E0%AF%81%20"&amp;"%E0%AE%AA%E0%AF%86%E0%AE%B1%E0%AF%8D%E0%AE%B1%E0%AF%81%E0%AE%95%E0%AF%8D%E0%AE%95%E0%AF%8A%E0%AE%B3%E0%AF%8D%E0%AE%B3%E0%AE%B5%E0%AF%81%E0%AE%AE%E0%AF%8D.%0A%E0%AE%AA%E0%AE%BF%E0%AE%B0%E0%AE%BE%E0%AE%A3%E0%AF%8D%E0%AE%9F%E0%AF%8D%3A%20TITAN%0A%E0%AE%AA%E0"&amp;"%AF%86%E0%AE%B1%E0%AE%AA%E0%AF%8D%E0%AE%AA%E0%AE%9F%E0%AF%8D%E0%AE%9F%20%E0%AE%A4%E0%AF%87%E0%AE%A4%E0%AE%BF%3A%2006-Jan-2026%0A%E0%AE%A4%E0%AE%AF%E0%AE%BE%E0%AE%B0%E0%AF%8D%20%E0%AE%A4%E0%AF%87%E0%AE%A4%E0%AE%BF%3A%2009-Jan-2026%0A%E0%AE%AE%E0%AF%80%E0%A"&amp;"E%A4%E0%AE%A4%E0%AF%8D%20%E0%AE%A4%E0%AF%8A%E0%AE%95%E0%AF%88%3A%20%E2%82%B9450%0A%0A%F0%9F%97%BA%20%2AGoogle%20Map%3A%2A%20https%3A%2F%2Fmaps.app.goo.gl%2FDpPkfna7HQttxYXn9%0A%0A%F0%9F%99%8F%20SMART%20TIMES%20SERVICE")</f>
        <v>https://wa.me/919566357413?text=%F0%9F%93%A2%20%2ASERVICE%20READY%20%E2%80%93%20READY%20FOR%20COLLECTION%2A%0A%0A%F0%9F%93%8C%20%2AEnglish%2A%0ADear%20MR.SHANMUNGUM%2C%0AYour%20watch%20service%20is%20completed%20and%20ready%20for%20collection.%0ABrand%3A%20TITAN%0AProblem%3A%20COIL%2BSERVICE%2BBATTERY%0AReceived%20Date%3A%2006-Jan-2026%0AReady%20Date%3A%2009-Jan-2026%0ABalance%20Amount%3A%20%E2%82%B9450%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.SHANMUNGUM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TITAN%0A%E0%AE%AA%E0%AF%86%E0%AE%B1%E0%AE%AA%E0%AF%8D%E0%AE%AA%E0%AE%9F%E0%AF%8D%E0%AE%9F%20%E0%AE%A4%E0%AF%87%E0%AE%A4%E0%AE%BF%3A%2006-Jan-2026%0A%E0%AE%A4%E0%AE%AF%E0%AE%BE%E0%AE%B0%E0%AF%8D%20%E0%AE%A4%E0%AF%87%E0%AE%A4%E0%AE%BF%3A%2009-Jan-2026%0A%E0%AE%AE%E0%AF%80%E0%AE%A4%E0%AE%A4%E0%AF%8D%20%E0%AE%A4%E0%AF%8A%E0%AE%95%E0%AF%88%3A%20%E2%82%B9450%0A%0A%F0%9F%97%BA%20%2AGoogle%20Map%3A%2A%20https%3A%2F%2Fmaps.app.goo.gl%2FDpPkfna7HQttxYXn9%0A%0A%F0%9F%99%8F%20SMART%20TIMES%20SERVICE</v>
      </c>
      <c r="R23" s="12" t="str">
        <f t="shared" si="13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13"/>
        <v>🟢 SEND WHATSAPP</v>
      </c>
    </row>
    <row r="25">
      <c r="A25" s="9">
        <f>A23+1</f>
        <v>2499</v>
      </c>
      <c r="B25" s="7" t="s">
        <v>77</v>
      </c>
      <c r="C25" s="7">
        <v>7.402255388E9</v>
      </c>
      <c r="D25" s="7" t="s">
        <v>24</v>
      </c>
      <c r="E25" s="7" t="s">
        <v>78</v>
      </c>
      <c r="F25" s="7" t="s">
        <v>20</v>
      </c>
      <c r="G25" s="17">
        <v>46029.0</v>
      </c>
      <c r="H25" s="17">
        <v>46030.0</v>
      </c>
      <c r="I25" s="9"/>
      <c r="J25" s="9"/>
      <c r="K25" s="7">
        <f t="shared" ref="K25:K29" si="16">I25-J25</f>
        <v>0</v>
      </c>
      <c r="L25" s="7" t="s">
        <v>21</v>
      </c>
      <c r="M25" s="15"/>
      <c r="N25" s="9"/>
      <c r="O25" s="11" t="s">
        <v>22</v>
      </c>
      <c r="P25" s="12" t="str">
        <f t="shared" ref="P25:P29" si="17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202499%0ACustomer%3A%20MR.ANBU%0AMobile%3A%207402255388%0ABrand%3A%20TITAN%0AProblem%3A%20MG%0A%0AReceived%20Date%3A%2007-Jan-2026%0AExpected%20Delivery%20Date%3A%2008-Jan-2026%0ACurrent%20Status%3A%20%2ADelivered%2A%0A%0A%E2%9C%85%20Service%20update%20for%20information.%0A%0ABalance%20Amount%3A%20%E2%82%B90%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13"/>
        <v>🟢 SEND WHATSAPP</v>
      </c>
    </row>
    <row r="26">
      <c r="A26" s="9">
        <f t="shared" ref="A26:A29" si="18">A25+1</f>
        <v>2500</v>
      </c>
      <c r="B26" s="7" t="s">
        <v>79</v>
      </c>
      <c r="C26" s="7">
        <v>6.379910965E9</v>
      </c>
      <c r="D26" s="7" t="s">
        <v>24</v>
      </c>
      <c r="E26" s="7" t="s">
        <v>80</v>
      </c>
      <c r="F26" s="7" t="s">
        <v>81</v>
      </c>
      <c r="G26" s="17">
        <v>46029.0</v>
      </c>
      <c r="H26" s="17">
        <v>46033.0</v>
      </c>
      <c r="I26" s="7">
        <v>300.0</v>
      </c>
      <c r="J26" s="9"/>
      <c r="K26" s="7">
        <f t="shared" si="16"/>
        <v>300</v>
      </c>
      <c r="L26" s="7" t="s">
        <v>27</v>
      </c>
      <c r="M26" s="15"/>
      <c r="N26" s="9"/>
      <c r="O26" s="11" t="s">
        <v>22</v>
      </c>
      <c r="P26" s="12" t="str">
        <f t="shared" si="17"/>
        <v>https://wa.me/?text=%F0%9F%93%A2%20%2ASERVICE%20STATUS%20UPDATE%2A%0A%0AService%20ID%3A%202500%0ACustomer%3A%20MR.LOGANATHAN%0AMobile%3A%206379910965%0ABrand%3A%20TITAN%0AProblem%3A%20SERVICE%2BBUTTON%0A%0AReceived%20Date%3A%2007-Jan-2026%0AExpected%20Delivery%20Date%3A%2011-Jan-2026%0ACurrent%20Status%3A%20%2AReady%2A%0A%0A%E2%9C%85%20Service%20update%20for%20information.%0A%0ABalance%20Amount%3A%20%E2%82%B9300%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https://wa.me/916379910965?text=%F0%9F%93%A2%20%2ASERVICE%20READY%20%E2%80%93%20READY%20FOR%20COLLECTION%2A%0A%0A%F0%9F%93%8C%20%2AEnglish%2A%0ADear%20MR.LOGANATHAN%2C%0AYour%20watch%20service%20is%20completed%20and%20ready%20for%20collection.%0ABrand%3A%"&amp;"20TITAN%0AProblem%3A%20SERVICE%2BBUTTON%0AReceived%20Date%3A%2007-Jan-2026%0AReady%20Date%3A%2011-Jan-2026%0ABalance%20Amount%3A%20%E2%82%B9300%0A%0A%F0%9F%93%8D%20%2AShop%20Address%3A%2A%0ASMART%20TIMES%2C%0A8%2F107%2C%20Pennagaram%20Main%20Road%2C%0ANex"&amp;"t%20to%20R.C%20Church%2C%0ADharmapuri%20%E2%80%93%20636701%0A%0A%F0%9F%97%BA%20%2AGoogle%20Map%3A%2A%20https%3A%2F%2Fmaps.app.goo.gl%2FDpPkfna7HQttxYXn9%0A%0A%F0%9F%93%8C%20%2A%E0%AE%A4%E0%AE%AE%E0%AE%BF%E0%AE%B4%E0%AF%8D%2A%0A%E0%AE%B5%E0%AE%A3%E0%AE%95%"&amp;"E0%AF%8D%E0%AE%95%E0%AE%AE%E0%AF%8D%20MR.LOGANATHAN%2C%0A%E0%AE%89%E0%AE%99%E0%AF%8D%E0%AE%95%E0%AE%B3%E0%AF%8D%20%E0%AE%95%E0%AE%9F%E0%AE%BF%E0%AE%95%E0%AE%BE%E0%AE%B0%20%E0%AE%9A%E0%AE%B0%E0%AF%8D%E0%AE%B5%E0%AF%80%E0%AE%B8%E0%AF%8D%20%E0%AE%AE%E0%AF%81"&amp;"%E0%AE%9F%E0%AE%BF%E0%AE%A8%E0%AF%8D%E0%AE%A4%E0%AF%81%2C%20%E0%AE%AA%E0%AF%86%E0%AE%B1%E0%AF%8D%E0%AE%B1%E0%AF%81%E0%AE%95%E0%AF%8D%E0%AE%95%E0%AF%8A%E0%AE%B3%E0%AF%8D%E0%AE%B3%20%E0%AE%A4%E0%AE%AF%E0%AE%BE%E0%AE%B0%E0%AE%BE%E0%AE%95%20%E0%AE%89%E0%AE%B3"&amp;"%E0%AF%8D%E0%AE%B3%E0%AE%A4%E0%AF%81.%0A%E0%AE%A4%E0%AE%AF%E0%AE%B5%E0%AF%81%E0%AE%9A%E0%AF%86%E0%AE%AF%E0%AF%8D%E0%AE%A4%E0%AF%81%20%E0%AE%95%E0%AE%9F%E0%AF%88%E0%AE%95%E0%AF%8D%E0%AE%95%E0%AF%81%20%E0%AE%B5%E0%AE%A8%E0%AF%8D%E0%AE%A4%E0%AF%81%20%E0%AE%A"&amp;"A%E0%AF%86%E0%AE%B1%E0%AF%8D%E0%AE%B1%E0%AF%81%E0%AE%95%E0%AF%8D%E0%AE%95%E0%AF%8A%E0%AE%B3%E0%AF%8D%E0%AE%B3%E0%AE%B5%E0%AF%81%E0%AE%AE%E0%AF%8D.%0A%E0%AE%AA%E0%AE%BF%E0%AE%B0%E0%AE%BE%E0%AE%A3%E0%AF%8D%E0%AE%9F%E0%AF%8D%3A%20TITAN%0A%E0%AE%AA%E0%AF%86%E"&amp;"0%AE%B1%E0%AE%AA%E0%AF%8D%E0%AE%AA%E0%AE%9F%E0%AF%8D%E0%AE%9F%20%E0%AE%A4%E0%AF%87%E0%AE%A4%E0%AE%BF%3A%2007-Jan-2026%0A%E0%AE%A4%E0%AE%AF%E0%AE%BE%E0%AE%B0%E0%AF%8D%20%E0%AE%A4%E0%AF%87%E0%AE%A4%E0%AE%BF%3A%2011-Jan-2026%0A%E0%AE%AE%E0%AF%80%E0%AE%A4%E0%"&amp;"AE%A4%E0%AF%8D%20%E0%AE%A4%E0%AF%8A%E0%AE%95%E0%AF%88%3A%20%E2%82%B9300%0A%0A%F0%9F%97%BA%20%2AGoogle%20Map%3A%2A%20https%3A%2F%2Fmaps.app.goo.gl%2FDpPkfna7HQttxYXn9%0A%0A%F0%9F%99%8F%20SMART%20TIMES%20SERVICE")</f>
        <v>https://wa.me/916379910965?text=%F0%9F%93%A2%20%2ASERVICE%20READY%20%E2%80%93%20READY%20FOR%20COLLECTION%2A%0A%0A%F0%9F%93%8C%20%2AEnglish%2A%0ADear%20MR.LOGANATHAN%2C%0AYour%20watch%20service%20is%20completed%20and%20ready%20for%20collection.%0ABrand%3A%20TITAN%0AProblem%3A%20SERVICE%2BBUTTON%0AReceived%20Date%3A%2007-Jan-2026%0AReady%20Date%3A%2011-Jan-2026%0ABalance%20Amount%3A%20%E2%82%B9300%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.LOGANATHAN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TITAN%0A%E0%AE%AA%E0%AF%86%E0%AE%B1%E0%AE%AA%E0%AF%8D%E0%AE%AA%E0%AE%9F%E0%AF%8D%E0%AE%9F%20%E0%AE%A4%E0%AF%87%E0%AE%A4%E0%AE%BF%3A%2007-Jan-2026%0A%E0%AE%A4%E0%AE%AF%E0%AE%BE%E0%AE%B0%E0%AF%8D%20%E0%AE%A4%E0%AF%87%E0%AE%A4%E0%AE%BF%3A%2011-Jan-2026%0A%E0%AE%AE%E0%AF%80%E0%AE%A4%E0%AE%A4%E0%AF%8D%20%E0%AE%A4%E0%AF%8A%E0%AE%95%E0%AF%88%3A%20%E2%82%B9300%0A%0A%F0%9F%97%BA%20%2AGoogle%20Map%3A%2A%20https%3A%2F%2Fmaps.app.goo.gl%2FDpPkfna7HQttxYXn9%0A%0A%F0%9F%99%8F%20SMART%20TIMES%20SERVICE</v>
      </c>
      <c r="R26" s="12" t="str">
        <f t="shared" si="13"/>
        <v>🟢 SEND WHATSAPP</v>
      </c>
    </row>
    <row r="27">
      <c r="A27" s="9">
        <f t="shared" si="18"/>
        <v>2501</v>
      </c>
      <c r="B27" s="7" t="s">
        <v>82</v>
      </c>
      <c r="C27" s="7">
        <v>9.79149259E9</v>
      </c>
      <c r="D27" s="7" t="s">
        <v>83</v>
      </c>
      <c r="E27" s="7" t="s">
        <v>84</v>
      </c>
      <c r="F27" s="7" t="s">
        <v>85</v>
      </c>
      <c r="G27" s="17">
        <v>46029.0</v>
      </c>
      <c r="H27" s="17">
        <v>46030.0</v>
      </c>
      <c r="I27" s="7">
        <v>150.0</v>
      </c>
      <c r="J27" s="9"/>
      <c r="K27" s="7">
        <f t="shared" si="16"/>
        <v>150</v>
      </c>
      <c r="L27" s="7" t="s">
        <v>21</v>
      </c>
      <c r="M27" s="10">
        <v>46030.0</v>
      </c>
      <c r="N27" s="9"/>
      <c r="O27" s="11" t="s">
        <v>22</v>
      </c>
      <c r="P27" s="12" t="str">
        <f t="shared" si="17"/>
        <v>https://wa.me/?text=%F0%9F%93%A2%20%2ASERVICE%20STATUS%20UPDATE%2A%0A%0AService%20ID%3A%202501%0ACustomer%3A%20MR.T.MUTHU%0AMobile%3A%209791492590%0ABrand%3A%20WALL%20CLOCK%0AProblem%3A%20MOVEMENT%0A%0AReceived%20Date%3A%2007-Jan-2026%0AExpected%20Delivery%20Date%3A%2008-Jan-2026%0ACurrent%20Status%3A%20%2ADelivered%2A%0A%0A%E2%9C%85%20Service%20update%20for%20information.%0A%0ABalance%20Amount%3A%20%E2%82%B9150%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13"/>
        <v>🟢 SEND WHATSAPP</v>
      </c>
    </row>
    <row r="28">
      <c r="A28" s="9">
        <f t="shared" si="18"/>
        <v>2502</v>
      </c>
      <c r="B28" s="7" t="s">
        <v>86</v>
      </c>
      <c r="C28" s="7">
        <v>9.943562247E9</v>
      </c>
      <c r="D28" s="7" t="s">
        <v>24</v>
      </c>
      <c r="E28" s="7" t="s">
        <v>87</v>
      </c>
      <c r="F28" s="7" t="s">
        <v>26</v>
      </c>
      <c r="G28" s="17">
        <v>46029.0</v>
      </c>
      <c r="H28" s="17">
        <v>46031.0</v>
      </c>
      <c r="I28" s="9"/>
      <c r="J28" s="9"/>
      <c r="K28" s="7">
        <f t="shared" si="16"/>
        <v>0</v>
      </c>
      <c r="L28" s="7" t="s">
        <v>21</v>
      </c>
      <c r="M28" s="15"/>
      <c r="N28" s="9"/>
      <c r="O28" s="11" t="s">
        <v>22</v>
      </c>
      <c r="P28" s="12" t="str">
        <f t="shared" si="17"/>
        <v>https://wa.me/?text=%F0%9F%93%A2%20%2ASERVICE%20STATUS%20UPDATE%2A%0A%0AService%20ID%3A%202502%0ACustomer%3A%20MR.MURUGHAN%0AMobile%3A%209943562247%0ABrand%3A%20TITAN%0AProblem%3A%20SERVICE%0A%0AReceived%20Date%3A%2007-Jan-2026%0AExpected%20Delivery%20Date%3A%2009-Jan-2026%0ACurrent%20Status%3A%20%2ADelivered%2A%0A%0A%E2%9C%85%20Service%20update%20for%20information.%0A%0ABalance%20Amount%3A%20%E2%82%B90%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13"/>
        <v>🟢 SEND WHATSAPP</v>
      </c>
    </row>
    <row r="29">
      <c r="A29" s="9">
        <f t="shared" si="18"/>
        <v>2503</v>
      </c>
      <c r="B29" s="7" t="s">
        <v>88</v>
      </c>
      <c r="C29" s="7">
        <v>9.9432712E9</v>
      </c>
      <c r="D29" s="7" t="s">
        <v>40</v>
      </c>
      <c r="E29" s="7" t="s">
        <v>89</v>
      </c>
      <c r="F29" s="7" t="s">
        <v>26</v>
      </c>
      <c r="G29" s="17">
        <v>46029.0</v>
      </c>
      <c r="H29" s="17">
        <v>46033.0</v>
      </c>
      <c r="I29" s="7">
        <v>400.0</v>
      </c>
      <c r="J29" s="9"/>
      <c r="K29" s="7">
        <f t="shared" si="16"/>
        <v>400</v>
      </c>
      <c r="L29" s="7" t="s">
        <v>27</v>
      </c>
      <c r="M29" s="15"/>
      <c r="N29" s="9"/>
      <c r="O29" s="11" t="s">
        <v>22</v>
      </c>
      <c r="P29" s="12" t="str">
        <f t="shared" si="17"/>
        <v>https://wa.me/?text=%F0%9F%93%A2%20%2ASERVICE%20STATUS%20UPDATE%2A%0A%0AService%20ID%3A%202503%0ACustomer%3A%20MR.MANIVEL%0AMobile%3A%209943271200%0ABrand%3A%20SONATA%0AProblem%3A%20SERVICE%0A%0AReceived%20Date%3A%2007-Jan-2026%0AExpected%20Delivery%20Date%3A%2011-Jan-2026%0ACurrent%20Status%3A%20%2AReady%2A%0A%0A%E2%9C%85%20Service%20update%20for%20information.%0A%0ABalance%20Amount%3A%20%E2%82%B9400%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https://wa.me/919943271200?text=%F0%9F%93%A2%20%2ASERVICE%20READY%20%E2%80%93%20READY%20FOR%20COLLECTION%2A%0A%0A%F0%9F%93%8C%20%2AEnglish%2A%0ADear%20MR.MANIVEL%2C%0AYour%20watch%20service%20is%20completed%20and%20ready%20for%20collection.%0ABrand%3A%20S"&amp;"ONATA%0AProblem%3A%20SERVICE%0AReceived%20Date%3A%2007-Jan-2026%0AReady%20Date%3A%2011-Jan-2026%0ABalance%20Amount%3A%20%E2%82%B9400%0A%0A%F0%9F%93%8D%20%2AShop%20Address%3A%2A%0ASMART%20TIMES%2C%0A8%2F107%2C%20Pennagaram%20Main%20Road%2C%0ANext%20to%20R."&amp;"C%20Church%2C%0ADharmapuri%20%E2%80%93%20636701%0A%0A%F0%9F%97%BA%20%2AGoogle%20Map%3A%2A%20https%3A%2F%2Fmaps.app.goo.gl%2FDpPkfna7HQttxYXn9%0A%0A%F0%9F%93%8C%20%2A%E0%AE%A4%E0%AE%AE%E0%AE%BF%E0%AE%B4%E0%AF%8D%2A%0A%E0%AE%B5%E0%AE%A3%E0%AE%95%E0%AF%8D%E0"&amp;"%AE%95%E0%AE%AE%E0%AF%8D%20MR.MANIVEL%2C%0A%E0%AE%89%E0%AE%99%E0%AF%8D%E0%AE%95%E0%AE%B3%E0%AF%8D%20%E0%AE%95%E0%AE%9F%E0%AE%BF%E0%AE%95%E0%AE%BE%E0%AE%B0%20%E0%AE%9A%E0%AE%B0%E0%AF%8D%E0%AE%B5%E0%AF%80%E0%AE%B8%E0%AF%8D%20%E0%AE%AE%E0%AF%81%E0%AE%9F%E0%A"&amp;"E%BF%E0%AE%A8%E0%AF%8D%E0%AE%A4%E0%AF%81%2C%20%E0%AE%AA%E0%AF%86%E0%AE%B1%E0%AF%8D%E0%AE%B1%E0%AF%81%E0%AE%95%E0%AF%8D%E0%AE%95%E0%AF%8A%E0%AE%B3%E0%AF%8D%E0%AE%B3%20%E0%AE%A4%E0%AE%AF%E0%AE%BE%E0%AE%B0%E0%AE%BE%E0%AE%95%20%E0%AE%89%E0%AE%B3%E0%AF%8D%E0%A"&amp;"E%B3%E0%AE%A4%E0%AF%81.%0A%E0%AE%A4%E0%AE%AF%E0%AE%B5%E0%AF%81%E0%AE%9A%E0%AF%86%E0%AE%AF%E0%AF%8D%E0%AE%A4%E0%AF%81%20%E0%AE%95%E0%AE%9F%E0%AF%88%E0%AE%95%E0%AF%8D%E0%AE%95%E0%AF%81%20%E0%AE%B5%E0%AE%A8%E0%AF%8D%E0%AE%A4%E0%AF%81%20%E0%AE%AA%E0%AF%86%E0%"&amp;"AE%B1%E0%AF%8D%E0%AE%B1%E0%AF%81%E0%AE%95%E0%AF%8D%E0%AE%95%E0%AF%8A%E0%AE%B3%E0%AF%8D%E0%AE%B3%E0%AE%B5%E0%AF%81%E0%AE%AE%E0%AF%8D.%0A%E0%AE%AA%E0%AE%BF%E0%AE%B0%E0%AE%BE%E0%AE%A3%E0%AF%8D%E0%AE%9F%E0%AF%8D%3A%20SONATA%0A%E0%AE%AA%E0%AF%86%E0%AE%B1%E0%AE"&amp;"%AA%E0%AF%8D%E0%AE%AA%E0%AE%9F%E0%AF%8D%E0%AE%9F%20%E0%AE%A4%E0%AF%87%E0%AE%A4%E0%AE%BF%3A%2007-Jan-2026%0A%E0%AE%A4%E0%AE%AF%E0%AE%BE%E0%AE%B0%E0%AF%8D%20%E0%AE%A4%E0%AF%87%E0%AE%A4%E0%AE%BF%3A%2011-Jan-2026%0A%E0%AE%AE%E0%AF%80%E0%AE%A4%E0%AE%A4%E0%AF%8"&amp;"D%20%E0%AE%A4%E0%AF%8A%E0%AE%95%E0%AF%88%3A%20%E2%82%B9400%0A%0A%F0%9F%97%BA%20%2AGoogle%20Map%3A%2A%20https%3A%2F%2Fmaps.app.goo.gl%2FDpPkfna7HQttxYXn9%0A%0A%F0%9F%99%8F%20SMART%20TIMES%20SERVICE")</f>
        <v>https://wa.me/919943271200?text=%F0%9F%93%A2%20%2ASERVICE%20READY%20%E2%80%93%20READY%20FOR%20COLLECTION%2A%0A%0A%F0%9F%93%8C%20%2AEnglish%2A%0ADear%20MR.MANIVEL%2C%0AYour%20watch%20service%20is%20completed%20and%20ready%20for%20collection.%0ABrand%3A%20SONATA%0AProblem%3A%20SERVICE%0AReceived%20Date%3A%2007-Jan-2026%0AReady%20Date%3A%2011-Jan-2026%0ABalance%20Amount%3A%20%E2%82%B9400%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MR.MANIVEL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SONATA%0A%E0%AE%AA%E0%AF%86%E0%AE%B1%E0%AE%AA%E0%AF%8D%E0%AE%AA%E0%AE%9F%E0%AF%8D%E0%AE%9F%20%E0%AE%A4%E0%AF%87%E0%AE%A4%E0%AE%BF%3A%2007-Jan-2026%0A%E0%AE%A4%E0%AE%AF%E0%AE%BE%E0%AE%B0%E0%AF%8D%20%E0%AE%A4%E0%AF%87%E0%AE%A4%E0%AE%BF%3A%2011-Jan-2026%0A%E0%AE%AE%E0%AF%80%E0%AE%A4%E0%AE%A4%E0%AF%8D%20%E0%AE%A4%E0%AF%8A%E0%AE%95%E0%AF%88%3A%20%E2%82%B9400%0A%0A%F0%9F%97%BA%20%2AGoogle%20Map%3A%2A%20https%3A%2F%2Fmaps.app.goo.gl%2FDpPkfna7HQttxYXn9%0A%0A%F0%9F%99%8F%20SMART%20TIMES%20SERVICE</v>
      </c>
      <c r="R29" s="12" t="str">
        <f t="shared" si="13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>
        <f>A29+1</f>
        <v>2504</v>
      </c>
      <c r="B31" s="7" t="s">
        <v>90</v>
      </c>
      <c r="C31" s="7">
        <v>8.072535669E9</v>
      </c>
      <c r="D31" s="7" t="s">
        <v>40</v>
      </c>
      <c r="E31" s="7" t="s">
        <v>91</v>
      </c>
      <c r="F31" s="7" t="s">
        <v>70</v>
      </c>
      <c r="G31" s="17">
        <v>46030.0</v>
      </c>
      <c r="H31" s="17">
        <v>46033.0</v>
      </c>
      <c r="I31" s="7">
        <v>350.0</v>
      </c>
      <c r="J31" s="9"/>
      <c r="K31" s="7">
        <f>I31-J31</f>
        <v>350</v>
      </c>
      <c r="L31" s="7" t="s">
        <v>56</v>
      </c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202504%0ACustomer%3A%20MS.MONIKA%0AMobile%3A%208072535669%0ABrand%3A%20SONATA%0AProblem%3A%20SERVICE%2BBATTERY%0A%0AReceived%20Date%3A%2008-Jan-2026%0AExpected%20Delivery%20Date%3A%2011-Jan-2026%0ACurrent%20Status%3A%20%2APending%20%2A%0A%0A%E2%9C%85%20Service%20update%20for%20information.%0A%0ABalance%20Amount%3A%20%E2%82%B9350%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>
        <f>A31+1</f>
        <v>2505</v>
      </c>
      <c r="B33" s="7" t="s">
        <v>92</v>
      </c>
      <c r="C33" s="7">
        <v>7.010015123E9</v>
      </c>
      <c r="D33" s="7" t="s">
        <v>53</v>
      </c>
      <c r="E33" s="7" t="s">
        <v>93</v>
      </c>
      <c r="F33" s="7" t="s">
        <v>94</v>
      </c>
      <c r="G33" s="17">
        <v>46031.0</v>
      </c>
      <c r="H33" s="17">
        <v>46035.0</v>
      </c>
      <c r="I33" s="9"/>
      <c r="J33" s="9"/>
      <c r="K33" s="7">
        <f t="shared" ref="K33:K34" si="19">I33-J33</f>
        <v>0</v>
      </c>
      <c r="L33" s="7" t="s">
        <v>56</v>
      </c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202505%0ACustomer%3A%20MR.KANNAN%0AMobile%3A%207010015123%0ABrand%3A%20FASTRACK%0AProblem%3A%20MG%2BBATTERY%2BSTRAP%0A%0AReceived%20Date%3A%2009-Jan-2026%0AExpected%20Delivery%20Date%3A%2013-Jan-2026%0ACurrent%20Status%3A%20%2APending%20%2A%0A%0A%E2%9C%85%20Service%20update%20for%20information.%0A%0ABalance%20Amount%3A%20%E2%82%B90%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>
        <v>2505.0</v>
      </c>
      <c r="B34" s="7" t="s">
        <v>92</v>
      </c>
      <c r="C34" s="7">
        <v>7.010015123E9</v>
      </c>
      <c r="D34" s="7" t="s">
        <v>24</v>
      </c>
      <c r="E34" s="7" t="s">
        <v>95</v>
      </c>
      <c r="F34" s="7" t="s">
        <v>96</v>
      </c>
      <c r="G34" s="17">
        <v>46031.0</v>
      </c>
      <c r="H34" s="17">
        <v>46035.0</v>
      </c>
      <c r="I34" s="9"/>
      <c r="J34" s="9"/>
      <c r="K34" s="7">
        <f t="shared" si="19"/>
        <v>0</v>
      </c>
      <c r="L34" s="7" t="s">
        <v>56</v>
      </c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>
        <f>A33+1</f>
        <v>2506</v>
      </c>
      <c r="B36" s="7" t="s">
        <v>37</v>
      </c>
      <c r="C36" s="7">
        <v>9.443513115E9</v>
      </c>
      <c r="D36" s="7" t="s">
        <v>24</v>
      </c>
      <c r="E36" s="7" t="s">
        <v>97</v>
      </c>
      <c r="F36" s="9"/>
      <c r="G36" s="17">
        <v>46032.0</v>
      </c>
      <c r="H36" s="17">
        <v>46033.0</v>
      </c>
      <c r="I36" s="9"/>
      <c r="J36" s="9"/>
      <c r="K36" s="7">
        <f>I36-J36</f>
        <v>0</v>
      </c>
      <c r="L36" s="7" t="s">
        <v>21</v>
      </c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202506%0ACustomer%3A%20MR.SHANKAR%0AMobile%3A%209443513115%0ABrand%3A%20TITAN%0AProblem%3A%20%0A%0AReceived%20Date%3A%2010-Jan-2026%0AExpected%20Delivery%20Date%3A%2011-Jan-2026%0ACurrent%20Status%3A%20%2ADelivered%2A%0A%0A%E2%9C%85%20Service%20update%20for%20information.%0A%0ABalance%20Amount%3A%20%E2%82%B90%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>
        <f>A36+1</f>
        <v>2507</v>
      </c>
      <c r="B38" s="7" t="s">
        <v>98</v>
      </c>
      <c r="C38" s="7">
        <v>9.361892992E9</v>
      </c>
      <c r="D38" s="7" t="s">
        <v>53</v>
      </c>
      <c r="E38" s="7" t="s">
        <v>99</v>
      </c>
      <c r="F38" s="7" t="s">
        <v>100</v>
      </c>
      <c r="G38" s="17">
        <v>46033.0</v>
      </c>
      <c r="H38" s="17">
        <v>46043.0</v>
      </c>
      <c r="I38" s="9"/>
      <c r="J38" s="9"/>
      <c r="K38" s="7">
        <f t="shared" ref="K38:K39" si="20">I38-J38</f>
        <v>0</v>
      </c>
      <c r="L38" s="7" t="s">
        <v>56</v>
      </c>
      <c r="M38" s="15"/>
      <c r="N38" s="9"/>
      <c r="O38" s="11" t="s">
        <v>22</v>
      </c>
      <c r="P38" s="12" t="str">
        <f t="shared" ref="P38:P39" si="2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202507%0ACustomer%3A%20MR.MUNIRAJ%0AMobile%3A%209361892992%0ABrand%3A%20FASTRACK%0AProblem%3A%20DISPLAY%0A%0AReceived%20Date%3A%2011-Jan-2026%0AExpected%20Delivery%20Date%3A%2021-Jan-2026%0ACurrent%20Status%3A%20%2APending%20%2A%0A%0A%E2%9C%85%20Service%20update%20for%20information.%0A%0ABalance%20Amount%3A%20%E2%82%B90%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22">HYPERLINK(Q38,"🟢 SEND WHATSAPP")</f>
        <v>🟢 SEND WHATSAPP</v>
      </c>
    </row>
    <row r="39">
      <c r="A39" s="9">
        <f>A38+1</f>
        <v>2508</v>
      </c>
      <c r="B39" s="7" t="s">
        <v>28</v>
      </c>
      <c r="C39" s="7">
        <v>9.788089279E9</v>
      </c>
      <c r="D39" s="7" t="s">
        <v>24</v>
      </c>
      <c r="E39" s="7" t="s">
        <v>101</v>
      </c>
      <c r="F39" s="7" t="s">
        <v>26</v>
      </c>
      <c r="G39" s="17">
        <v>46033.0</v>
      </c>
      <c r="H39" s="17">
        <v>46036.0</v>
      </c>
      <c r="I39" s="9"/>
      <c r="J39" s="9"/>
      <c r="K39" s="7">
        <f t="shared" si="20"/>
        <v>0</v>
      </c>
      <c r="L39" s="7" t="s">
        <v>56</v>
      </c>
      <c r="M39" s="15"/>
      <c r="N39" s="9"/>
      <c r="O39" s="11" t="s">
        <v>22</v>
      </c>
      <c r="P39" s="12" t="str">
        <f t="shared" si="21"/>
        <v>https://wa.me/?text=%F0%9F%93%A2%20%2ASERVICE%20STATUS%20UPDATE%2A%0A%0AService%20ID%3A%202508%0ACustomer%3A%20MR.KRISHNAN%0AMobile%3A%209788089279%0ABrand%3A%20TITAN%0AProblem%3A%20SERVICE%0A%0AReceived%20Date%3A%2011-Jan-2026%0AExpected%20Delivery%20Date%3A%2014-Jan-2026%0ACurrent%20Status%3A%20%2APending%20%2A%0A%0A%E2%9C%85%20Service%20update%20for%20information.%0A%0ABalance%20Amount%3A%20%E2%82%B90%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2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>
        <v>2509.0</v>
      </c>
      <c r="B41" s="7" t="s">
        <v>102</v>
      </c>
      <c r="C41" s="7">
        <v>9.787929591E9</v>
      </c>
      <c r="D41" s="7" t="s">
        <v>40</v>
      </c>
      <c r="E41" s="7" t="s">
        <v>103</v>
      </c>
      <c r="F41" s="7" t="s">
        <v>26</v>
      </c>
      <c r="G41" s="17">
        <v>46034.0</v>
      </c>
      <c r="H41" s="17">
        <v>46036.0</v>
      </c>
      <c r="I41" s="9"/>
      <c r="J41" s="9"/>
      <c r="K41" s="9"/>
      <c r="L41" s="7" t="s">
        <v>56</v>
      </c>
      <c r="M41" s="15"/>
      <c r="N41" s="9"/>
      <c r="O41" s="11"/>
      <c r="P41" s="13"/>
      <c r="Q41" s="13"/>
      <c r="R41" s="13"/>
    </row>
    <row r="42">
      <c r="A42" s="9">
        <f>A41+1</f>
        <v>2510</v>
      </c>
      <c r="B42" s="7" t="s">
        <v>104</v>
      </c>
      <c r="C42" s="7">
        <v>9.489238128E9</v>
      </c>
      <c r="D42" s="7" t="s">
        <v>53</v>
      </c>
      <c r="E42" s="7" t="s">
        <v>105</v>
      </c>
      <c r="F42" s="7" t="s">
        <v>106</v>
      </c>
      <c r="G42" s="17">
        <v>46034.0</v>
      </c>
      <c r="H42" s="17">
        <v>46036.0</v>
      </c>
      <c r="I42" s="9"/>
      <c r="J42" s="9"/>
      <c r="K42" s="9"/>
      <c r="L42" s="7" t="s">
        <v>56</v>
      </c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202510%0ACustomer%3A%20MR.MAHESWARAN%0AMobile%3A%209489238128%0ABrand%3A%20FASTRACK%0AProblem%3A%20SALTRING%0A%0AReceived%20Date%3A%2012-Jan-2026%0AExpected%20Delivery%20Date%3A%2014-Jan-2026%0ACurrent%20Status%3A%20%2APending%20%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>
        <f>A42+1</f>
        <v>2511</v>
      </c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2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202511%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2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2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2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2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2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dataValidations>
    <dataValidation type="list" allowBlank="1" showErrorMessage="1" sqref="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5.25"/>
    <col customWidth="1" min="4" max="4" width="16.38"/>
    <col customWidth="1" min="5" max="5" width="15.38"/>
    <col customWidth="1" min="6" max="6" width="31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"),0.0)</f>
        <v>0</v>
      </c>
      <c r="T1" s="6"/>
      <c r="U1" s="6"/>
      <c r="V1" s="6"/>
      <c r="W1" s="6"/>
      <c r="X1" s="6"/>
      <c r="Y1" s="6"/>
    </row>
    <row r="2" ht="18.0" customHeight="1">
      <c r="A2" s="7">
        <v>1000.0</v>
      </c>
      <c r="B2" s="7" t="s">
        <v>107</v>
      </c>
      <c r="C2" s="7">
        <v>8.050556085E9</v>
      </c>
      <c r="D2" s="7" t="s">
        <v>24</v>
      </c>
      <c r="E2" s="7" t="s">
        <v>108</v>
      </c>
      <c r="F2" s="7" t="s">
        <v>109</v>
      </c>
      <c r="G2" s="8">
        <v>46211.0</v>
      </c>
      <c r="H2" s="8">
        <v>46215.0</v>
      </c>
      <c r="I2" s="7">
        <v>1000.0</v>
      </c>
      <c r="J2" s="9"/>
      <c r="K2" s="7">
        <v>1000.0</v>
      </c>
      <c r="L2" s="7"/>
      <c r="M2" s="10"/>
      <c r="N2" s="9"/>
      <c r="O2" s="11"/>
      <c r="P2" s="13"/>
      <c r="Q2" s="13" t="str">
        <f>IFERROR(__xludf.DUMMYFUNCTION("IF(REGEXMATCH(LOWER(L2),""ready""),
""https://wa.me/91""&amp;C2&amp;""?text="" &amp;
ENCODEURL(
""📢 *SERVICE READY – READY FOR COLLECTION*"" &amp; CHAR(10) &amp; CHAR(10) &amp;
""📌 *English*"" &amp; CHAR(10) &amp;
""Dear "" &amp; B2 &amp; "","" &amp; CHAR(10) &amp;
""Your watch service is completed"&amp;" and ready for collection."" &amp; CHAR(10) &amp;
""Brand: "" &amp; D2 &amp; CHAR(10) &amp;
""Problem: "" &amp; F2 &amp; CHAR(10) &amp;
""Received Date: "" &amp; TEXT(G2,""dd-mmm-yyyy"") &amp; CHAR(10) &amp;
""Ready Date: "" &amp; TEXT(H2,""dd-mmm-yyyy"") &amp; CHAR(10) &amp;
""Balance Amount: ₹"" &amp; K2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D2 &amp; CHAR(10) &amp;
""பெறப்பட்ட தேதி: "" &amp; TEXT(G2,""dd-mmm-yyyy"") &amp; CHAR(10) &amp;
""தயார் தேதி: "" &amp; TEXT(H2,""dd-mmm-yyyy"") &amp; CHAR(10) &amp;
""மீதத் தொகை: ₹"" &amp; K2 &amp; CHAR(10) &amp; CHAR(10) &amp;
""🗺 *Google Map:* https://maps.app.goo.gl/DpPkfna7HQttx"&amp;"YXn9"" &amp; CHAR(10) &amp; CHAR(10) &amp;
""🙏 SMART TIMES SERVICE""
),
"""")
"),"")</f>
        <v/>
      </c>
      <c r="R2" s="13" t="str">
        <f t="shared" ref="R2:R3" si="1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"),"#N/A")</f>
        <v>#N/A</v>
      </c>
    </row>
    <row r="3">
      <c r="A3" s="7">
        <v>1001.0</v>
      </c>
      <c r="B3" s="7" t="s">
        <v>110</v>
      </c>
      <c r="C3" s="7">
        <v>8.870648564E9</v>
      </c>
      <c r="D3" s="7" t="s">
        <v>53</v>
      </c>
      <c r="E3" s="7" t="s">
        <v>111</v>
      </c>
      <c r="F3" s="7" t="s">
        <v>112</v>
      </c>
      <c r="G3" s="8">
        <v>46211.0</v>
      </c>
      <c r="H3" s="8">
        <v>46212.0</v>
      </c>
      <c r="I3" s="7">
        <v>350.0</v>
      </c>
      <c r="J3" s="7"/>
      <c r="K3" s="7">
        <v>350.0</v>
      </c>
      <c r="L3" s="7"/>
      <c r="M3" s="10"/>
      <c r="N3" s="9"/>
      <c r="O3" s="11"/>
      <c r="P3" s="13"/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"),"")</f>
        <v/>
      </c>
      <c r="R3" s="13" t="str">
        <f t="shared" si="1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ref="P4:P8" si="2">IF(O4="YES",
"https://wa.me/?text=" &amp;
ENCODEURL(
IF(OR(L4="Pending",L4="In Progress"),
"⚠ *SERVICE ALERT – ATTENTION REQUIRED*" &amp; CHAR(10) &amp; CHAR(10),
"📢 *SERVICE STATUS UPDATE*" &amp; CHAR(10) &amp; CHAR(10)
) &amp;
"Service ID: " &amp; A4 &amp; CHAR(10) &amp;
"Customer: " &amp; B4 &amp; CHAR(10) &amp;
"Mobile: " &amp; C4 &amp; CHAR(10) &amp;
"Brand: " &amp; D4 &amp; CHAR(10) &amp;
"Problem: " &amp; F4 &amp; CHAR(10) &amp; CHAR(10) &amp;
"Received Date: " &amp; TEXT(G4,"dd-mmm-yyyy") &amp; CHAR(10) &amp;
"Expected Delivery Date: " &amp; TEXT(H4,"dd-mmm-yyyy") &amp; CHAR(10) &amp;
"Current Status: *" &amp; L4 &amp; "*" &amp; CHAR(10) &amp; CHAR(10) &amp;
IF(OR(L4="Pending",L4="In Progress"),
"⚠ Please follow up immediately.",
"✅ Service update for information."
) &amp; CHAR(10) &amp; CHAR(10) &amp;
"Balance Amount: ₹" &amp; K4 &amp; CHAR(10) &amp; CHAR(10) &amp;
"— SMART TIMES SERVICE"
),
"")
</f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"),"None")</f>
        <v>None</v>
      </c>
    </row>
    <row r="5" ht="21.75" customHeight="1">
      <c r="A5" s="7"/>
      <c r="B5" s="7"/>
      <c r="C5" s="7"/>
      <c r="D5" s="7"/>
      <c r="E5" s="7"/>
      <c r="F5" s="7"/>
      <c r="G5" s="8"/>
      <c r="H5" s="8"/>
      <c r="I5" s="7"/>
      <c r="J5" s="9"/>
      <c r="K5" s="7"/>
      <c r="L5" s="7"/>
      <c r="M5" s="15"/>
      <c r="N5" s="9"/>
      <c r="O5" s="11" t="s">
        <v>22</v>
      </c>
      <c r="P5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3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/>
      <c r="B6" s="7"/>
      <c r="C6" s="7"/>
      <c r="D6" s="7"/>
      <c r="E6" s="7"/>
      <c r="F6" s="7"/>
      <c r="G6" s="8"/>
      <c r="H6" s="8"/>
      <c r="I6" s="7"/>
      <c r="J6" s="9"/>
      <c r="K6" s="7"/>
      <c r="L6" s="7"/>
      <c r="M6" s="15"/>
      <c r="N6" s="9"/>
      <c r="O6" s="11" t="s">
        <v>22</v>
      </c>
      <c r="P6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3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/>
      <c r="B7" s="7"/>
      <c r="C7" s="7"/>
      <c r="D7" s="7"/>
      <c r="E7" s="7"/>
      <c r="F7" s="7"/>
      <c r="G7" s="8"/>
      <c r="H7" s="8"/>
      <c r="I7" s="7"/>
      <c r="J7" s="9"/>
      <c r="K7" s="7"/>
      <c r="L7" s="7"/>
      <c r="M7" s="10"/>
      <c r="N7" s="9"/>
      <c r="O7" s="11" t="s">
        <v>22</v>
      </c>
      <c r="P7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3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https://wa.me/?text=%F0%9F%93%8A%20SERVICE%20STATUS%20SUMMARY%0A%0A%F0%9F%94%B4%20OVERDUE%0ANone%0A%0A%F0%9F%9F%A0%20DUE%20TODAY%0ANone%0A%0A%F0%9F%94%B5%20REMAINING%0ANone%0A%0A%E2%80%94%20SMART%20TIMES%20SERVICE</v>
      </c>
    </row>
    <row r="8">
      <c r="A8" s="9"/>
      <c r="B8" s="7"/>
      <c r="C8" s="7"/>
      <c r="D8" s="7"/>
      <c r="E8" s="7"/>
      <c r="F8" s="7"/>
      <c r="G8" s="8"/>
      <c r="H8" s="17"/>
      <c r="I8" s="9"/>
      <c r="J8" s="9"/>
      <c r="K8" s="7"/>
      <c r="L8" s="7"/>
      <c r="M8" s="10"/>
      <c r="N8" s="9"/>
      <c r="O8" s="11"/>
      <c r="P8" s="13" t="str">
        <f t="shared" si="2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3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 t="str">
        <f>IFERROR(__xludf.DUMMYFUNCTION("IF(REGEXMATCH(LOWER(L9),""ready""),
""https://wa.me/91""&amp;C9&amp;""?text="" &amp;
ENCODEURL(
""📢 *SERVICE READY – READY FOR COLLECTION*"" &amp; CHAR(10) &amp; CHAR(10) &amp;
""📌 *English*"" &amp; CHAR(10) &amp;
""Dear "" &amp; B9 &amp; "","" &amp; CHAR(10) &amp;
""Your watch service is completed"&amp;" and ready for collection."" &amp; CHAR(10) &amp;
""Brand: "" &amp; D9 &amp; CHAR(10) &amp;
""Problem: "" &amp; F9 &amp; CHAR(10) &amp;
""Received Date: "" &amp; TEXT(G9,""dd-mmm-yyyy"") &amp; CHAR(10) &amp;
""Ready Date: "" &amp; TEXT(H9,""dd-mmm-yyyy"") &amp; CHAR(10) &amp;
""Balance Amount: ₹"" &amp; K9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D9 &amp; CHAR(10) &amp;
""பெறப்பட்ட தேதி: "" &amp; TEXT(G9,""dd-mmm-yyyy"") &amp; CHAR(10) &amp;
""தயார் தேதி: "" &amp; TEXT(H9,""dd-mmm-yyyy"") &amp; CHAR(10) &amp;
""மீதத் தொகை: ₹"" &amp; K9 &amp; CHAR(10) &amp; CHAR(10) &amp;
""🗺 *Google Map:* https://maps.app.goo.gl/DpPkfna7HQttx"&amp;"YXn9"" &amp; CHAR(10) &amp; CHAR(10) &amp;
""🙏 SMART TIMES SERVICE""
),
"""")
"),"")</f>
        <v/>
      </c>
      <c r="R9" s="13"/>
    </row>
    <row r="10">
      <c r="A10" s="7"/>
      <c r="B10" s="7"/>
      <c r="C10" s="7"/>
      <c r="D10" s="7"/>
      <c r="E10" s="7"/>
      <c r="F10" s="7"/>
      <c r="G10" s="8"/>
      <c r="H10" s="17"/>
      <c r="I10" s="9"/>
      <c r="J10" s="9"/>
      <c r="K10" s="7"/>
      <c r="L10" s="7"/>
      <c r="M10" s="15"/>
      <c r="N10" s="9"/>
      <c r="O10" s="11" t="s">
        <v>22</v>
      </c>
      <c r="P10" s="12" t="str">
        <f t="shared" ref="P10:P16" si="4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"),"")</f>
        <v/>
      </c>
      <c r="R10" s="13" t="str">
        <f t="shared" ref="R10:R16" si="5">HYPERLINK(Q10,"🟢 SEND WHATSAPP")</f>
        <v>🟢 SEND WHATSAPP</v>
      </c>
    </row>
    <row r="11">
      <c r="A11" s="9"/>
      <c r="B11" s="7"/>
      <c r="C11" s="7"/>
      <c r="D11" s="7"/>
      <c r="E11" s="7"/>
      <c r="F11" s="7"/>
      <c r="G11" s="17"/>
      <c r="H11" s="17"/>
      <c r="I11" s="9"/>
      <c r="J11" s="9"/>
      <c r="K11" s="7"/>
      <c r="L11" s="7"/>
      <c r="M11" s="10"/>
      <c r="N11" s="18"/>
      <c r="O11" s="11" t="s">
        <v>22</v>
      </c>
      <c r="P11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5"/>
        <v>🟢 SEND WHATSAPP</v>
      </c>
    </row>
    <row r="12">
      <c r="A12" s="9"/>
      <c r="B12" s="7"/>
      <c r="C12" s="7"/>
      <c r="D12" s="7"/>
      <c r="E12" s="7"/>
      <c r="F12" s="7"/>
      <c r="G12" s="17"/>
      <c r="H12" s="17"/>
      <c r="I12" s="7"/>
      <c r="J12" s="9"/>
      <c r="K12" s="7"/>
      <c r="L12" s="7"/>
      <c r="M12" s="10"/>
      <c r="N12" s="9"/>
      <c r="O12" s="11" t="s">
        <v>22</v>
      </c>
      <c r="P12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5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4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5"/>
        <v>🟢 SEND WHATSAPP</v>
      </c>
    </row>
    <row r="14">
      <c r="A14" s="7"/>
      <c r="B14" s="7"/>
      <c r="C14" s="7"/>
      <c r="D14" s="7"/>
      <c r="E14" s="7"/>
      <c r="F14" s="7"/>
      <c r="G14" s="17"/>
      <c r="H14" s="17"/>
      <c r="I14" s="9"/>
      <c r="J14" s="9"/>
      <c r="K14" s="7"/>
      <c r="L14" s="7"/>
      <c r="M14" s="15"/>
      <c r="N14" s="9"/>
      <c r="O14" s="11" t="s">
        <v>22</v>
      </c>
      <c r="P14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5"/>
        <v>🟢 SEND WHATSAPP</v>
      </c>
      <c r="S14" s="14" t="str">
        <f t="shared" ref="S14:S15" si="6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/>
      <c r="B15" s="7"/>
      <c r="C15" s="7"/>
      <c r="D15" s="7"/>
      <c r="E15" s="7"/>
      <c r="F15" s="7"/>
      <c r="G15" s="17"/>
      <c r="H15" s="17"/>
      <c r="I15" s="9"/>
      <c r="J15" s="9"/>
      <c r="K15" s="7"/>
      <c r="L15" s="7"/>
      <c r="M15" s="15"/>
      <c r="N15" s="9"/>
      <c r="O15" s="11" t="s">
        <v>22</v>
      </c>
      <c r="P15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5"/>
        <v>🟢 SEND WHATSAPP</v>
      </c>
      <c r="S15" s="14" t="str">
        <f t="shared" si="6"/>
        <v/>
      </c>
    </row>
    <row r="16">
      <c r="A16" s="9"/>
      <c r="B16" s="7"/>
      <c r="C16" s="7"/>
      <c r="D16" s="7"/>
      <c r="E16" s="7"/>
      <c r="F16" s="7"/>
      <c r="G16" s="17"/>
      <c r="H16" s="17"/>
      <c r="I16" s="7"/>
      <c r="J16" s="9"/>
      <c r="K16" s="7"/>
      <c r="L16" s="7"/>
      <c r="M16" s="15"/>
      <c r="N16" s="9"/>
      <c r="O16" s="11" t="s">
        <v>22</v>
      </c>
      <c r="P16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"),"")</f>
        <v/>
      </c>
      <c r="R16" s="13" t="str">
        <f t="shared" si="5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/>
      <c r="B18" s="7"/>
      <c r="C18" s="7"/>
      <c r="D18" s="7"/>
      <c r="E18" s="7"/>
      <c r="F18" s="7"/>
      <c r="G18" s="17"/>
      <c r="H18" s="7"/>
      <c r="I18" s="7"/>
      <c r="J18" s="9"/>
      <c r="K18" s="7"/>
      <c r="L18" s="7"/>
      <c r="M18" s="10"/>
      <c r="N18" s="9"/>
      <c r="O18" s="11" t="s">
        <v>22</v>
      </c>
      <c r="P18" s="12" t="str">
        <f t="shared" ref="P18:P21" si="7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8">HYPERLINK(Q18,"🟢 SEND WHATSAPP")</f>
        <v>🟢 SEND WHATSAPP</v>
      </c>
      <c r="S18" s="14" t="str">
        <f t="shared" ref="S18:S21" si="9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/>
      <c r="B19" s="7"/>
      <c r="C19" s="7"/>
      <c r="D19" s="7"/>
      <c r="E19" s="7"/>
      <c r="F19" s="7"/>
      <c r="G19" s="17"/>
      <c r="H19" s="17"/>
      <c r="I19" s="9"/>
      <c r="J19" s="9"/>
      <c r="K19" s="7"/>
      <c r="L19" s="7"/>
      <c r="M19" s="15"/>
      <c r="N19" s="18"/>
      <c r="O19" s="11" t="s">
        <v>22</v>
      </c>
      <c r="P19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"),"")</f>
        <v/>
      </c>
      <c r="R19" s="13" t="str">
        <f t="shared" si="8"/>
        <v>🟢 SEND WHATSAPP</v>
      </c>
      <c r="S19" s="14" t="str">
        <f t="shared" si="9"/>
        <v/>
      </c>
    </row>
    <row r="20">
      <c r="A20" s="9"/>
      <c r="B20" s="7"/>
      <c r="C20" s="7"/>
      <c r="D20" s="7"/>
      <c r="E20" s="7"/>
      <c r="F20" s="7"/>
      <c r="G20" s="17"/>
      <c r="H20" s="17"/>
      <c r="I20" s="7"/>
      <c r="J20" s="9"/>
      <c r="K20" s="7"/>
      <c r="L20" s="7"/>
      <c r="M20" s="15"/>
      <c r="N20" s="19"/>
      <c r="O20" s="11" t="s">
        <v>22</v>
      </c>
      <c r="P20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8"/>
        <v>🟢 SEND WHATSAPP</v>
      </c>
      <c r="S20" s="14" t="str">
        <f t="shared" si="9"/>
        <v/>
      </c>
    </row>
    <row r="21">
      <c r="A21" s="9"/>
      <c r="B21" s="7"/>
      <c r="C21" s="7"/>
      <c r="D21" s="7"/>
      <c r="E21" s="7"/>
      <c r="F21" s="7"/>
      <c r="G21" s="17"/>
      <c r="H21" s="17"/>
      <c r="I21" s="9"/>
      <c r="J21" s="9"/>
      <c r="K21" s="7"/>
      <c r="L21" s="7"/>
      <c r="M21" s="15"/>
      <c r="N21" s="9"/>
      <c r="O21" s="11" t="s">
        <v>22</v>
      </c>
      <c r="P21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8"/>
        <v>🟢 SEND WHATSAPP</v>
      </c>
      <c r="S21" s="14" t="str">
        <f t="shared" si="9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8"/>
        <v>🟢 SEND WHATSAPP</v>
      </c>
    </row>
    <row r="23">
      <c r="A23" s="9"/>
      <c r="B23" s="7"/>
      <c r="C23" s="7"/>
      <c r="D23" s="7"/>
      <c r="E23" s="7"/>
      <c r="F23" s="7"/>
      <c r="G23" s="17"/>
      <c r="H23" s="17"/>
      <c r="I23" s="7"/>
      <c r="J23" s="9"/>
      <c r="K23" s="7"/>
      <c r="L23" s="7"/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"),"")</f>
        <v/>
      </c>
      <c r="R23" s="13" t="str">
        <f t="shared" si="8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8"/>
        <v>🟢 SEND WHATSAPP</v>
      </c>
    </row>
    <row r="25">
      <c r="A25" s="9"/>
      <c r="B25" s="7"/>
      <c r="C25" s="7"/>
      <c r="D25" s="7"/>
      <c r="E25" s="7"/>
      <c r="F25" s="7"/>
      <c r="G25" s="17"/>
      <c r="H25" s="17"/>
      <c r="I25" s="9"/>
      <c r="J25" s="9"/>
      <c r="K25" s="7"/>
      <c r="L25" s="7"/>
      <c r="M25" s="15"/>
      <c r="N25" s="9"/>
      <c r="O25" s="11" t="s">
        <v>22</v>
      </c>
      <c r="P25" s="12" t="str">
        <f t="shared" ref="P25:P29" si="10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8"/>
        <v>🟢 SEND WHATSAPP</v>
      </c>
    </row>
    <row r="26">
      <c r="A26" s="9"/>
      <c r="B26" s="7"/>
      <c r="C26" s="7"/>
      <c r="D26" s="7"/>
      <c r="E26" s="7"/>
      <c r="F26" s="7"/>
      <c r="G26" s="17"/>
      <c r="H26" s="17"/>
      <c r="I26" s="7"/>
      <c r="J26" s="9"/>
      <c r="K26" s="7"/>
      <c r="L26" s="7"/>
      <c r="M26" s="15"/>
      <c r="N26" s="9"/>
      <c r="O26" s="11" t="s">
        <v>22</v>
      </c>
      <c r="P26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"),"")</f>
        <v/>
      </c>
      <c r="R26" s="13" t="str">
        <f t="shared" si="8"/>
        <v>🟢 SEND WHATSAPP</v>
      </c>
    </row>
    <row r="27">
      <c r="A27" s="9"/>
      <c r="B27" s="7"/>
      <c r="C27" s="7"/>
      <c r="D27" s="7"/>
      <c r="E27" s="7"/>
      <c r="F27" s="7"/>
      <c r="G27" s="17"/>
      <c r="H27" s="17"/>
      <c r="I27" s="7"/>
      <c r="J27" s="9"/>
      <c r="K27" s="7"/>
      <c r="L27" s="7"/>
      <c r="M27" s="10"/>
      <c r="N27" s="9"/>
      <c r="O27" s="11" t="s">
        <v>22</v>
      </c>
      <c r="P27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8"/>
        <v>🟢 SEND WHATSAPP</v>
      </c>
    </row>
    <row r="28">
      <c r="A28" s="9"/>
      <c r="B28" s="7"/>
      <c r="C28" s="7"/>
      <c r="D28" s="7"/>
      <c r="E28" s="7"/>
      <c r="F28" s="7"/>
      <c r="G28" s="17"/>
      <c r="H28" s="17"/>
      <c r="I28" s="9"/>
      <c r="J28" s="9"/>
      <c r="K28" s="7"/>
      <c r="L28" s="7"/>
      <c r="M28" s="15"/>
      <c r="N28" s="9"/>
      <c r="O28" s="11" t="s">
        <v>22</v>
      </c>
      <c r="P28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8"/>
        <v>🟢 SEND WHATSAPP</v>
      </c>
    </row>
    <row r="29">
      <c r="A29" s="9"/>
      <c r="B29" s="7"/>
      <c r="C29" s="7"/>
      <c r="D29" s="7"/>
      <c r="E29" s="7"/>
      <c r="F29" s="7"/>
      <c r="G29" s="17"/>
      <c r="H29" s="17"/>
      <c r="I29" s="7"/>
      <c r="J29" s="9"/>
      <c r="K29" s="7"/>
      <c r="L29" s="7"/>
      <c r="M29" s="15"/>
      <c r="N29" s="9"/>
      <c r="O29" s="11" t="s">
        <v>22</v>
      </c>
      <c r="P29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"),"")</f>
        <v/>
      </c>
      <c r="R29" s="13" t="str">
        <f t="shared" si="8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/>
      <c r="B31" s="7"/>
      <c r="C31" s="7"/>
      <c r="D31" s="7"/>
      <c r="E31" s="7"/>
      <c r="F31" s="7"/>
      <c r="G31" s="17"/>
      <c r="H31" s="17"/>
      <c r="I31" s="7"/>
      <c r="J31" s="9"/>
      <c r="K31" s="7"/>
      <c r="L31" s="7"/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/>
      <c r="B33" s="7"/>
      <c r="C33" s="7"/>
      <c r="D33" s="7"/>
      <c r="E33" s="7"/>
      <c r="F33" s="7"/>
      <c r="G33" s="17"/>
      <c r="H33" s="17"/>
      <c r="I33" s="9"/>
      <c r="J33" s="9"/>
      <c r="K33" s="7"/>
      <c r="L33" s="7"/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/>
      <c r="B34" s="7"/>
      <c r="C34" s="7"/>
      <c r="D34" s="7"/>
      <c r="E34" s="7"/>
      <c r="F34" s="7"/>
      <c r="G34" s="17"/>
      <c r="H34" s="17"/>
      <c r="I34" s="9"/>
      <c r="J34" s="9"/>
      <c r="K34" s="7"/>
      <c r="L34" s="7"/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/>
      <c r="B36" s="7"/>
      <c r="C36" s="7"/>
      <c r="D36" s="7"/>
      <c r="E36" s="7"/>
      <c r="F36" s="9"/>
      <c r="G36" s="17"/>
      <c r="H36" s="17"/>
      <c r="I36" s="9"/>
      <c r="J36" s="9"/>
      <c r="K36" s="7"/>
      <c r="L36" s="7"/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/>
      <c r="B38" s="7"/>
      <c r="C38" s="7"/>
      <c r="D38" s="7"/>
      <c r="E38" s="7"/>
      <c r="F38" s="7"/>
      <c r="G38" s="17"/>
      <c r="H38" s="17"/>
      <c r="I38" s="9"/>
      <c r="J38" s="9"/>
      <c r="K38" s="7"/>
      <c r="L38" s="7"/>
      <c r="M38" s="15"/>
      <c r="N38" s="9"/>
      <c r="O38" s="11" t="s">
        <v>22</v>
      </c>
      <c r="P38" s="12" t="str">
        <f t="shared" ref="P38:P39" si="1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12">HYPERLINK(Q38,"🟢 SEND WHATSAPP")</f>
        <v>🟢 SEND WHATSAPP</v>
      </c>
    </row>
    <row r="39">
      <c r="A39" s="9"/>
      <c r="B39" s="7"/>
      <c r="C39" s="7"/>
      <c r="D39" s="7"/>
      <c r="E39" s="7"/>
      <c r="F39" s="7"/>
      <c r="G39" s="17"/>
      <c r="H39" s="17"/>
      <c r="I39" s="9"/>
      <c r="J39" s="9"/>
      <c r="K39" s="7"/>
      <c r="L39" s="7"/>
      <c r="M39" s="15"/>
      <c r="N39" s="9"/>
      <c r="O39" s="11" t="s">
        <v>22</v>
      </c>
      <c r="P39" s="12" t="str">
        <f t="shared" si="11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1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/>
      <c r="B41" s="7"/>
      <c r="C41" s="7"/>
      <c r="D41" s="7"/>
      <c r="E41" s="7"/>
      <c r="F41" s="7"/>
      <c r="G41" s="17"/>
      <c r="H41" s="17"/>
      <c r="I41" s="9"/>
      <c r="J41" s="9"/>
      <c r="K41" s="9"/>
      <c r="L41" s="7"/>
      <c r="M41" s="15"/>
      <c r="N41" s="9"/>
      <c r="O41" s="11"/>
      <c r="P41" s="13"/>
      <c r="Q41" s="13"/>
      <c r="R41" s="13"/>
    </row>
    <row r="42">
      <c r="A42" s="9"/>
      <c r="B42" s="7"/>
      <c r="C42" s="7"/>
      <c r="D42" s="7"/>
      <c r="E42" s="7"/>
      <c r="F42" s="7"/>
      <c r="G42" s="17"/>
      <c r="H42" s="17"/>
      <c r="I42" s="9"/>
      <c r="J42" s="9"/>
      <c r="K42" s="9"/>
      <c r="L42" s="7"/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/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1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1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1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1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1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1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conditionalFormatting sqref="G3:G10">
    <cfRule type="notContainsBlanks" dxfId="0" priority="1">
      <formula>LEN(TRIM(G3))&gt;0</formula>
    </cfRule>
  </conditionalFormatting>
  <dataValidations>
    <dataValidation type="list" allowBlank="1" showErrorMessage="1" sqref="D2: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5.25"/>
    <col customWidth="1" min="4" max="4" width="16.38"/>
    <col customWidth="1" min="5" max="5" width="15.38"/>
    <col customWidth="1" min="6" max="6" width="24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"),0.0)</f>
        <v>0</v>
      </c>
      <c r="T1" s="6"/>
      <c r="U1" s="6"/>
      <c r="V1" s="6"/>
      <c r="W1" s="6"/>
      <c r="X1" s="6"/>
      <c r="Y1" s="6"/>
    </row>
    <row r="2" ht="18.0" customHeight="1">
      <c r="A2" s="7"/>
      <c r="B2" s="7"/>
      <c r="C2" s="7"/>
      <c r="D2" s="7"/>
      <c r="E2" s="7"/>
      <c r="F2" s="7"/>
      <c r="G2" s="8"/>
      <c r="H2" s="8"/>
      <c r="I2" s="7"/>
      <c r="J2" s="9"/>
      <c r="K2" s="7"/>
      <c r="L2" s="7"/>
      <c r="M2" s="10"/>
      <c r="N2" s="9"/>
      <c r="O2" s="11"/>
      <c r="P2" s="13"/>
      <c r="Q2" s="13" t="str">
        <f>IFERROR(__xludf.DUMMYFUNCTION("IF(REGEXMATCH(LOWER(L2),""ready""),
""https://wa.me/91""&amp;C2&amp;""?text="" &amp;
ENCODEURL(
""📢 *SERVICE READY – READY FOR COLLECTION*"" &amp; CHAR(10) &amp; CHAR(10) &amp;
""📌 *English*"" &amp; CHAR(10) &amp;
""Dear "" &amp; B2 &amp; "","" &amp; CHAR(10) &amp;
""Your watch service is completed"&amp;" and ready for collection."" &amp; CHAR(10) &amp;
""Brand: "" &amp; D2 &amp; CHAR(10) &amp;
""Problem: "" &amp; F2 &amp; CHAR(10) &amp;
""Received Date: "" &amp; TEXT(G2,""dd-mmm-yyyy"") &amp; CHAR(10) &amp;
""Ready Date: "" &amp; TEXT(H2,""dd-mmm-yyyy"") &amp; CHAR(10) &amp;
""Balance Amount: ₹"" &amp; K2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D2 &amp; CHAR(10) &amp;
""பெறப்பட்ட தேதி: "" &amp; TEXT(G2,""dd-mmm-yyyy"") &amp; CHAR(10) &amp;
""தயார் தேதி: "" &amp; TEXT(H2,""dd-mmm-yyyy"") &amp; CHAR(10) &amp;
""மீதத் தொகை: ₹"" &amp; K2 &amp; CHAR(10) &amp; CHAR(10) &amp;
""🗺 *Google Map:* https://maps.app.goo.gl/DpPkfna7HQttx"&amp;"YXn9"" &amp; CHAR(10) &amp; CHAR(10) &amp;
""🙏 SMART TIMES SERVICE""
),
"""")
"),"")</f>
        <v/>
      </c>
      <c r="R2" s="13" t="str">
        <f t="shared" ref="R2:R3" si="1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"),"#N/A")</f>
        <v>#N/A</v>
      </c>
    </row>
    <row r="3">
      <c r="A3" s="9"/>
      <c r="B3" s="7"/>
      <c r="C3" s="7"/>
      <c r="D3" s="7"/>
      <c r="E3" s="7"/>
      <c r="F3" s="7"/>
      <c r="G3" s="8"/>
      <c r="H3" s="8"/>
      <c r="I3" s="7"/>
      <c r="J3" s="7"/>
      <c r="K3" s="7"/>
      <c r="L3" s="7" t="s">
        <v>27</v>
      </c>
      <c r="M3" s="10"/>
      <c r="N3" s="9"/>
      <c r="O3" s="11"/>
      <c r="P3" s="13"/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https://wa.me/91?text=%F0%9F%93%A2%20%2ASERVICE%20READY%20%E2%80%93%20READY%20FOR%20COLLECTION%2A%0A%0A%F0%9F%93%8C%20%2AEnglish%2A%0ADear%20%2C%0AYour%20watch%20service%20is%20completed%20and%20ready%20for%20collection.%0ABrand%3A%20%0AProblem%3A%20%0ARe"&amp;"ceived%20Date%3A%2030-Dec-1899%0AReady%20Date%3A%2030-Dec-1899%0ABalance%20Amount%3A%20%E2%82%B9%0A%0A%F0%9F%93%8D%20%2AShop%20Address%3A%2A%0ASMART%20TIMES%2C%0A8%2F107%2C%20Pennagaram%20Main%20Road%2C%0ANext%20to%20R.C%20Church%2C%0ADharmapuri%20%E2%80%"&amp;"93%20636701%0A%0A%F0%9F%97%BA%20%2AGoogle%20Map%3A%2A%20https%3A%2F%2Fmaps.app.goo.gl%2FDpPkfna7HQttxYXn9%0A%0A%F0%9F%93%8C%20%2A%E0%AE%A4%E0%AE%AE%E0%AE%BF%E0%AE%B4%E0%AF%8D%2A%0A%E0%AE%B5%E0%AE%A3%E0%AE%95%E0%AF%8D%E0%AE%95%E0%AE%AE%E0%AF%8D%20%2C%0A%E0"&amp;"%AE%89%E0%AE%99%E0%AF%8D%E0%AE%95%E0%AE%B3%E0%AF%8D%20%E0%AE%95%E0%AE%9F%E0%AE%BF%E0%AE%95%E0%AE%BE%E0%AE%B0%20%E0%AE%9A%E0%AE%B0%E0%AF%8D%E0%AE%B5%E0%AF%80%E0%AE%B8%E0%AF%8D%20%E0%AE%AE%E0%AF%81%E0%AE%9F%E0%AE%BF%E0%AE%A8%E0%AF%8D%E0%AE%A4%E0%AF%81%2C%20"&amp;"%E0%AE%AA%E0%AF%86%E0%AE%B1%E0%AF%8D%E0%AE%B1%E0%AF%81%E0%AE%95%E0%AF%8D%E0%AE%95%E0%AF%8A%E0%AE%B3%E0%AF%8D%E0%AE%B3%20%E0%AE%A4%E0%AE%AF%E0%AE%BE%E0%AE%B0%E0%AE%BE%E0%AE%95%20%E0%AE%89%E0%AE%B3%E0%AF%8D%E0%AE%B3%E0%AE%A4%E0%AF%81.%0A%E0%AE%A4%E0%AE%AF%E"&amp;"0%AE%B5%E0%AF%81%E0%AE%9A%E0%AF%86%E0%AE%AF%E0%AF%8D%E0%AE%A4%E0%AF%81%20%E0%AE%95%E0%AE%9F%E0%AF%88%E0%AE%95%E0%AF%8D%E0%AE%95%E0%AF%81%20%E0%AE%B5%E0%AE%A8%E0%AF%8D%E0%AE%A4%E0%AF%81%20%E0%AE%AA%E0%AF%86%E0%AE%B1%E0%AF%8D%E0%AE%B1%E0%AF%81%E0%AE%95%E0%A"&amp;"F%8D%E0%AE%95%E0%AF%8A%E0%AE%B3%E0%AF%8D%E0%AE%B3%E0%AE%B5%E0%AF%81%E0%AE%AE%E0%AF%8D.%0A%E0%AE%AA%E0%AE%BF%E0%AE%B0%E0%AE%BE%E0%AE%A3%E0%AF%8D%E0%AE%9F%E0%AF%8D%3A%20%0A%E0%AE%AA%E0%AF%86%E0%AE%B1%E0%AE%AA%E0%AF%8D%E0%AE%AA%E0%AE%9F%E0%AF%8D%E0%AE%9F%20%"&amp;"E0%AE%A4%E0%AF%87%E0%AE%A4%E0%AE%BF%3A%2030-Dec-1899%0A%E0%AE%A4%E0%AE%AF%E0%AE%BE%E0%AE%B0%E0%AF%8D%20%E0%AE%A4%E0%AF%87%E0%AE%A4%E0%AE%BF%3A%2030-Dec-1899%0A%E0%AE%AE%E0%AF%80%E0%AE%A4%E0%AE%A4%E0%AF%8D%20%E0%AE%A4%E0%AF%8A%E0%AE%95%E0%AF%88%3A%20%E2%82"&amp;"%B9%0A%0A%F0%9F%97%BA%20%2AGoogle%20Map%3A%2A%20https%3A%2F%2Fmaps.app.goo.gl%2FDpPkfna7HQttxYXn9%0A%0A%F0%9F%99%8F%20SMART%20TIMES%20SERVICE")</f>
        <v>https://wa.me/91?text=%F0%9F%93%A2%20%2ASERVICE%20READY%20%E2%80%93%20READY%20FOR%20COLLECTION%2A%0A%0A%F0%9F%93%8C%20%2AEnglish%2A%0ADear%20%2C%0AYour%20watch%20service%20is%20completed%20and%20ready%20for%20collection.%0ABrand%3A%20%0AProblem%3A%20%0AReceived%20Date%3A%2030-Dec-1899%0AReady%20Date%3A%2030-Dec-1899%0ABalance%20Amount%3A%20%E2%82%B9%0A%0A%F0%9F%93%8D%20%2AShop%20Address%3A%2A%0ASMART%20TIMES%2C%0A8%2F107%2C%20Pennagaram%20Main%20Road%2C%0ANext%20to%20R.C%20Church%2C%0ADharmapuri%20%E2%80%93%20636701%0A%0A%F0%9F%97%BA%20%2AGoogle%20Map%3A%2A%20https%3A%2F%2Fmaps.app.goo.gl%2FDpPkfna7HQttxYXn9%0A%0A%F0%9F%93%8C%20%2A%E0%AE%A4%E0%AE%AE%E0%AE%BF%E0%AE%B4%E0%AF%8D%2A%0A%E0%AE%B5%E0%AE%A3%E0%AE%95%E0%AF%8D%E0%AE%95%E0%AE%AE%E0%AF%8D%20%2C%0A%E0%AE%89%E0%AE%99%E0%AF%8D%E0%AE%95%E0%AE%B3%E0%AF%8D%20%E0%AE%95%E0%AE%9F%E0%AE%BF%E0%AE%95%E0%AE%BE%E0%AE%B0%20%E0%AE%9A%E0%AE%B0%E0%AF%8D%E0%AE%B5%E0%AF%80%E0%AE%B8%E0%AF%8D%20%E0%AE%AE%E0%AF%81%E0%AE%9F%E0%AE%BF%E0%AE%A8%E0%AF%8D%E0%AE%A4%E0%AF%81%2C%20%E0%AE%AA%E0%AF%86%E0%AE%B1%E0%AF%8D%E0%AE%B1%E0%AF%81%E0%AE%95%E0%AF%8D%E0%AE%95%E0%AF%8A%E0%AE%B3%E0%AF%8D%E0%AE%B3%20%E0%AE%A4%E0%AE%AF%E0%AE%BE%E0%AE%B0%E0%AE%BE%E0%AE%95%20%E0%AE%89%E0%AE%B3%E0%AF%8D%E0%AE%B3%E0%AE%A4%E0%AF%81.%0A%E0%AE%A4%E0%AE%AF%E0%AE%B5%E0%AF%81%E0%AE%9A%E0%AF%86%E0%AE%AF%E0%AF%8D%E0%AE%A4%E0%AF%81%20%E0%AE%95%E0%AE%9F%E0%AF%88%E0%AE%95%E0%AF%8D%E0%AE%95%E0%AF%81%20%E0%AE%B5%E0%AE%A8%E0%AF%8D%E0%AE%A4%E0%AF%81%20%E0%AE%AA%E0%AF%86%E0%AE%B1%E0%AF%8D%E0%AE%B1%E0%AF%81%E0%AE%95%E0%AF%8D%E0%AE%95%E0%AF%8A%E0%AE%B3%E0%AF%8D%E0%AE%B3%E0%AE%B5%E0%AF%81%E0%AE%AE%E0%AF%8D.%0A%E0%AE%AA%E0%AE%BF%E0%AE%B0%E0%AE%BE%E0%AE%A3%E0%AF%8D%E0%AE%9F%E0%AF%8D%3A%20%0A%E0%AE%AA%E0%AF%86%E0%AE%B1%E0%AE%AA%E0%AF%8D%E0%AE%AA%E0%AE%9F%E0%AF%8D%E0%AE%9F%20%E0%AE%A4%E0%AF%87%E0%AE%A4%E0%AE%BF%3A%2030-Dec-1899%0A%E0%AE%A4%E0%AE%AF%E0%AE%BE%E0%AE%B0%E0%AF%8D%20%E0%AE%A4%E0%AF%87%E0%AE%A4%E0%AE%BF%3A%2030-Dec-1899%0A%E0%AE%AE%E0%AF%80%E0%AE%A4%E0%AE%A4%E0%AF%8D%20%E0%AE%A4%E0%AF%8A%E0%AE%95%E0%AF%88%3A%20%E2%82%B9%0A%0A%F0%9F%97%BA%20%2AGoogle%20Map%3A%2A%20https%3A%2F%2Fmaps.app.goo.gl%2FDpPkfna7HQttxYXn9%0A%0A%F0%9F%99%8F%20SMART%20TIMES%20SERVICE</v>
      </c>
      <c r="R3" s="12" t="str">
        <f t="shared" si="1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ref="P4:P8" si="2">IF(O4="YES",
"https://wa.me/?text=" &amp;
ENCODEURL(
IF(OR(L4="Pending",L4="In Progress"),
"⚠ *SERVICE ALERT – ATTENTION REQUIRED*" &amp; CHAR(10) &amp; CHAR(10),
"📢 *SERVICE STATUS UPDATE*" &amp; CHAR(10) &amp; CHAR(10)
) &amp;
"Service ID: " &amp; A4 &amp; CHAR(10) &amp;
"Customer: " &amp; B4 &amp; CHAR(10) &amp;
"Mobile: " &amp; C4 &amp; CHAR(10) &amp;
"Brand: " &amp; D4 &amp; CHAR(10) &amp;
"Problem: " &amp; F4 &amp; CHAR(10) &amp; CHAR(10) &amp;
"Received Date: " &amp; TEXT(G4,"dd-mmm-yyyy") &amp; CHAR(10) &amp;
"Expected Delivery Date: " &amp; TEXT(H4,"dd-mmm-yyyy") &amp; CHAR(10) &amp;
"Current Status: *" &amp; L4 &amp; "*" &amp; CHAR(10) &amp; CHAR(10) &amp;
IF(OR(L4="Pending",L4="In Progress"),
"⚠ Please follow up immediately.",
"✅ Service update for information."
) &amp; CHAR(10) &amp; CHAR(10) &amp;
"Balance Amount: ₹" &amp; K4 &amp; CHAR(10) &amp; CHAR(10) &amp;
"— SMART TIMES SERVICE"
),
"")
</f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"),"None")</f>
        <v>None</v>
      </c>
    </row>
    <row r="5" ht="21.75" customHeight="1">
      <c r="A5" s="7"/>
      <c r="B5" s="7"/>
      <c r="C5" s="7"/>
      <c r="D5" s="7"/>
      <c r="E5" s="7"/>
      <c r="F5" s="7"/>
      <c r="G5" s="8"/>
      <c r="H5" s="8"/>
      <c r="I5" s="7"/>
      <c r="J5" s="9"/>
      <c r="K5" s="7"/>
      <c r="L5" s="7"/>
      <c r="M5" s="15"/>
      <c r="N5" s="9"/>
      <c r="O5" s="11" t="s">
        <v>22</v>
      </c>
      <c r="P5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3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/>
      <c r="B6" s="7"/>
      <c r="C6" s="7"/>
      <c r="D6" s="7"/>
      <c r="E6" s="7"/>
      <c r="F6" s="7"/>
      <c r="G6" s="8"/>
      <c r="H6" s="8"/>
      <c r="I6" s="7"/>
      <c r="J6" s="9"/>
      <c r="K6" s="7"/>
      <c r="L6" s="7"/>
      <c r="M6" s="15"/>
      <c r="N6" s="9"/>
      <c r="O6" s="11" t="s">
        <v>22</v>
      </c>
      <c r="P6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3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/>
      <c r="B7" s="7"/>
      <c r="C7" s="7"/>
      <c r="D7" s="7"/>
      <c r="E7" s="7"/>
      <c r="F7" s="7"/>
      <c r="G7" s="8"/>
      <c r="H7" s="8"/>
      <c r="I7" s="7"/>
      <c r="J7" s="9"/>
      <c r="K7" s="7"/>
      <c r="L7" s="7"/>
      <c r="M7" s="10"/>
      <c r="N7" s="9"/>
      <c r="O7" s="11" t="s">
        <v>22</v>
      </c>
      <c r="P7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3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https://wa.me/?text=%F0%9F%93%8A%20SERVICE%20STATUS%20SUMMARY%0A%0A%F0%9F%94%B4%20OVERDUE%0ANone%0A%0A%F0%9F%9F%A0%20DUE%20TODAY%0ANone%0A%0A%F0%9F%94%B5%20REMAINING%0ANone%0A%0A%E2%80%94%20SMART%20TIMES%20SERVICE</v>
      </c>
    </row>
    <row r="8">
      <c r="A8" s="9"/>
      <c r="B8" s="7"/>
      <c r="C8" s="7"/>
      <c r="D8" s="7"/>
      <c r="E8" s="7"/>
      <c r="F8" s="7"/>
      <c r="G8" s="8"/>
      <c r="H8" s="17"/>
      <c r="I8" s="9"/>
      <c r="J8" s="9"/>
      <c r="K8" s="7"/>
      <c r="L8" s="7"/>
      <c r="M8" s="10"/>
      <c r="N8" s="9"/>
      <c r="O8" s="11"/>
      <c r="P8" s="13" t="str">
        <f t="shared" si="2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3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 t="str">
        <f>IFERROR(__xludf.DUMMYFUNCTION("IF(REGEXMATCH(LOWER(L9),""ready""),
""https://wa.me/91""&amp;C9&amp;""?text="" &amp;
ENCODEURL(
""📢 *SERVICE READY – READY FOR COLLECTION*"" &amp; CHAR(10) &amp; CHAR(10) &amp;
""📌 *English*"" &amp; CHAR(10) &amp;
""Dear "" &amp; B9 &amp; "","" &amp; CHAR(10) &amp;
""Your watch service is completed"&amp;" and ready for collection."" &amp; CHAR(10) &amp;
""Brand: "" &amp; D9 &amp; CHAR(10) &amp;
""Problem: "" &amp; F9 &amp; CHAR(10) &amp;
""Received Date: "" &amp; TEXT(G9,""dd-mmm-yyyy"") &amp; CHAR(10) &amp;
""Ready Date: "" &amp; TEXT(H9,""dd-mmm-yyyy"") &amp; CHAR(10) &amp;
""Balance Amount: ₹"" &amp; K9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D9 &amp; CHAR(10) &amp;
""பெறப்பட்ட தேதி: "" &amp; TEXT(G9,""dd-mmm-yyyy"") &amp; CHAR(10) &amp;
""தயார் தேதி: "" &amp; TEXT(H9,""dd-mmm-yyyy"") &amp; CHAR(10) &amp;
""மீதத் தொகை: ₹"" &amp; K9 &amp; CHAR(10) &amp; CHAR(10) &amp;
""🗺 *Google Map:* https://maps.app.goo.gl/DpPkfna7HQttx"&amp;"YXn9"" &amp; CHAR(10) &amp; CHAR(10) &amp;
""🙏 SMART TIMES SERVICE""
),
"""")
"),"")</f>
        <v/>
      </c>
      <c r="R9" s="13"/>
    </row>
    <row r="10">
      <c r="A10" s="7"/>
      <c r="B10" s="7"/>
      <c r="C10" s="7"/>
      <c r="D10" s="7"/>
      <c r="E10" s="7"/>
      <c r="F10" s="7"/>
      <c r="G10" s="17"/>
      <c r="H10" s="17"/>
      <c r="I10" s="9"/>
      <c r="J10" s="9"/>
      <c r="K10" s="7"/>
      <c r="L10" s="7"/>
      <c r="M10" s="15"/>
      <c r="N10" s="9"/>
      <c r="O10" s="11" t="s">
        <v>22</v>
      </c>
      <c r="P10" s="12" t="str">
        <f t="shared" ref="P10:P16" si="4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"),"")</f>
        <v/>
      </c>
      <c r="R10" s="13" t="str">
        <f t="shared" ref="R10:R16" si="5">HYPERLINK(Q10,"🟢 SEND WHATSAPP")</f>
        <v>🟢 SEND WHATSAPP</v>
      </c>
    </row>
    <row r="11">
      <c r="A11" s="9"/>
      <c r="B11" s="7"/>
      <c r="C11" s="7"/>
      <c r="D11" s="7"/>
      <c r="E11" s="7"/>
      <c r="F11" s="7"/>
      <c r="G11" s="17"/>
      <c r="H11" s="17"/>
      <c r="I11" s="9"/>
      <c r="J11" s="9"/>
      <c r="K11" s="7"/>
      <c r="L11" s="7"/>
      <c r="M11" s="10"/>
      <c r="N11" s="18"/>
      <c r="O11" s="11" t="s">
        <v>22</v>
      </c>
      <c r="P11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5"/>
        <v>🟢 SEND WHATSAPP</v>
      </c>
    </row>
    <row r="12">
      <c r="A12" s="9"/>
      <c r="B12" s="7"/>
      <c r="C12" s="7"/>
      <c r="D12" s="7"/>
      <c r="E12" s="7"/>
      <c r="F12" s="7"/>
      <c r="G12" s="17"/>
      <c r="H12" s="17"/>
      <c r="I12" s="7"/>
      <c r="J12" s="9"/>
      <c r="K12" s="7"/>
      <c r="L12" s="7"/>
      <c r="M12" s="10"/>
      <c r="N12" s="9"/>
      <c r="O12" s="11" t="s">
        <v>22</v>
      </c>
      <c r="P12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5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4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5"/>
        <v>🟢 SEND WHATSAPP</v>
      </c>
    </row>
    <row r="14">
      <c r="A14" s="7"/>
      <c r="B14" s="7"/>
      <c r="C14" s="7"/>
      <c r="D14" s="7"/>
      <c r="E14" s="7"/>
      <c r="F14" s="7"/>
      <c r="G14" s="17"/>
      <c r="H14" s="17"/>
      <c r="I14" s="9"/>
      <c r="J14" s="9"/>
      <c r="K14" s="7"/>
      <c r="L14" s="7"/>
      <c r="M14" s="15"/>
      <c r="N14" s="9"/>
      <c r="O14" s="11" t="s">
        <v>22</v>
      </c>
      <c r="P14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5"/>
        <v>🟢 SEND WHATSAPP</v>
      </c>
      <c r="S14" s="14" t="str">
        <f t="shared" ref="S14:S15" si="6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/>
      <c r="B15" s="7"/>
      <c r="C15" s="7"/>
      <c r="D15" s="7"/>
      <c r="E15" s="7"/>
      <c r="F15" s="7"/>
      <c r="G15" s="17"/>
      <c r="H15" s="17"/>
      <c r="I15" s="9"/>
      <c r="J15" s="9"/>
      <c r="K15" s="7"/>
      <c r="L15" s="7"/>
      <c r="M15" s="15"/>
      <c r="N15" s="9"/>
      <c r="O15" s="11" t="s">
        <v>22</v>
      </c>
      <c r="P15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5"/>
        <v>🟢 SEND WHATSAPP</v>
      </c>
      <c r="S15" s="14" t="str">
        <f t="shared" si="6"/>
        <v/>
      </c>
    </row>
    <row r="16">
      <c r="A16" s="9"/>
      <c r="B16" s="7"/>
      <c r="C16" s="7"/>
      <c r="D16" s="7"/>
      <c r="E16" s="7"/>
      <c r="F16" s="7"/>
      <c r="G16" s="17"/>
      <c r="H16" s="17"/>
      <c r="I16" s="7"/>
      <c r="J16" s="9"/>
      <c r="K16" s="7"/>
      <c r="L16" s="7"/>
      <c r="M16" s="15"/>
      <c r="N16" s="9"/>
      <c r="O16" s="11" t="s">
        <v>22</v>
      </c>
      <c r="P16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"),"")</f>
        <v/>
      </c>
      <c r="R16" s="13" t="str">
        <f t="shared" si="5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/>
      <c r="B18" s="7"/>
      <c r="C18" s="7"/>
      <c r="D18" s="7"/>
      <c r="E18" s="7"/>
      <c r="F18" s="7"/>
      <c r="G18" s="17"/>
      <c r="H18" s="7"/>
      <c r="I18" s="7"/>
      <c r="J18" s="9"/>
      <c r="K18" s="7"/>
      <c r="L18" s="7"/>
      <c r="M18" s="10"/>
      <c r="N18" s="9"/>
      <c r="O18" s="11" t="s">
        <v>22</v>
      </c>
      <c r="P18" s="12" t="str">
        <f t="shared" ref="P18:P21" si="7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8">HYPERLINK(Q18,"🟢 SEND WHATSAPP")</f>
        <v>🟢 SEND WHATSAPP</v>
      </c>
      <c r="S18" s="14" t="str">
        <f t="shared" ref="S18:S21" si="9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/>
      <c r="B19" s="7"/>
      <c r="C19" s="7"/>
      <c r="D19" s="7"/>
      <c r="E19" s="7"/>
      <c r="F19" s="7"/>
      <c r="G19" s="17"/>
      <c r="H19" s="17"/>
      <c r="I19" s="9"/>
      <c r="J19" s="9"/>
      <c r="K19" s="7"/>
      <c r="L19" s="7"/>
      <c r="M19" s="15"/>
      <c r="N19" s="18"/>
      <c r="O19" s="11" t="s">
        <v>22</v>
      </c>
      <c r="P19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"),"")</f>
        <v/>
      </c>
      <c r="R19" s="13" t="str">
        <f t="shared" si="8"/>
        <v>🟢 SEND WHATSAPP</v>
      </c>
      <c r="S19" s="14" t="str">
        <f t="shared" si="9"/>
        <v/>
      </c>
    </row>
    <row r="20">
      <c r="A20" s="9"/>
      <c r="B20" s="7"/>
      <c r="C20" s="7"/>
      <c r="D20" s="7"/>
      <c r="E20" s="7"/>
      <c r="F20" s="7"/>
      <c r="G20" s="17"/>
      <c r="H20" s="17"/>
      <c r="I20" s="7"/>
      <c r="J20" s="9"/>
      <c r="K20" s="7"/>
      <c r="L20" s="7"/>
      <c r="M20" s="15"/>
      <c r="N20" s="19"/>
      <c r="O20" s="11" t="s">
        <v>22</v>
      </c>
      <c r="P20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8"/>
        <v>🟢 SEND WHATSAPP</v>
      </c>
      <c r="S20" s="14" t="str">
        <f t="shared" si="9"/>
        <v/>
      </c>
    </row>
    <row r="21">
      <c r="A21" s="9"/>
      <c r="B21" s="7"/>
      <c r="C21" s="7"/>
      <c r="D21" s="7"/>
      <c r="E21" s="7"/>
      <c r="F21" s="7"/>
      <c r="G21" s="17"/>
      <c r="H21" s="17"/>
      <c r="I21" s="9"/>
      <c r="J21" s="9"/>
      <c r="K21" s="7"/>
      <c r="L21" s="7"/>
      <c r="M21" s="15"/>
      <c r="N21" s="9"/>
      <c r="O21" s="11" t="s">
        <v>22</v>
      </c>
      <c r="P21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8"/>
        <v>🟢 SEND WHATSAPP</v>
      </c>
      <c r="S21" s="14" t="str">
        <f t="shared" si="9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8"/>
        <v>🟢 SEND WHATSAPP</v>
      </c>
    </row>
    <row r="23">
      <c r="A23" s="9"/>
      <c r="B23" s="7"/>
      <c r="C23" s="7"/>
      <c r="D23" s="7"/>
      <c r="E23" s="7"/>
      <c r="F23" s="7"/>
      <c r="G23" s="17"/>
      <c r="H23" s="17"/>
      <c r="I23" s="7"/>
      <c r="J23" s="9"/>
      <c r="K23" s="7"/>
      <c r="L23" s="7"/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"),"")</f>
        <v/>
      </c>
      <c r="R23" s="13" t="str">
        <f t="shared" si="8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8"/>
        <v>🟢 SEND WHATSAPP</v>
      </c>
    </row>
    <row r="25">
      <c r="A25" s="9"/>
      <c r="B25" s="7"/>
      <c r="C25" s="7"/>
      <c r="D25" s="7"/>
      <c r="E25" s="7"/>
      <c r="F25" s="7"/>
      <c r="G25" s="17"/>
      <c r="H25" s="17"/>
      <c r="I25" s="9"/>
      <c r="J25" s="9"/>
      <c r="K25" s="7"/>
      <c r="L25" s="7"/>
      <c r="M25" s="15"/>
      <c r="N25" s="9"/>
      <c r="O25" s="11" t="s">
        <v>22</v>
      </c>
      <c r="P25" s="12" t="str">
        <f t="shared" ref="P25:P29" si="10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8"/>
        <v>🟢 SEND WHATSAPP</v>
      </c>
    </row>
    <row r="26">
      <c r="A26" s="9"/>
      <c r="B26" s="7"/>
      <c r="C26" s="7"/>
      <c r="D26" s="7"/>
      <c r="E26" s="7"/>
      <c r="F26" s="7"/>
      <c r="G26" s="17"/>
      <c r="H26" s="17"/>
      <c r="I26" s="7"/>
      <c r="J26" s="9"/>
      <c r="K26" s="7"/>
      <c r="L26" s="7"/>
      <c r="M26" s="15"/>
      <c r="N26" s="9"/>
      <c r="O26" s="11" t="s">
        <v>22</v>
      </c>
      <c r="P26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"),"")</f>
        <v/>
      </c>
      <c r="R26" s="13" t="str">
        <f t="shared" si="8"/>
        <v>🟢 SEND WHATSAPP</v>
      </c>
    </row>
    <row r="27">
      <c r="A27" s="9"/>
      <c r="B27" s="7"/>
      <c r="C27" s="7"/>
      <c r="D27" s="7"/>
      <c r="E27" s="7"/>
      <c r="F27" s="7"/>
      <c r="G27" s="17"/>
      <c r="H27" s="17"/>
      <c r="I27" s="7"/>
      <c r="J27" s="9"/>
      <c r="K27" s="7"/>
      <c r="L27" s="7"/>
      <c r="M27" s="10"/>
      <c r="N27" s="9"/>
      <c r="O27" s="11" t="s">
        <v>22</v>
      </c>
      <c r="P27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8"/>
        <v>🟢 SEND WHATSAPP</v>
      </c>
    </row>
    <row r="28">
      <c r="A28" s="9"/>
      <c r="B28" s="7"/>
      <c r="C28" s="7"/>
      <c r="D28" s="7"/>
      <c r="E28" s="7"/>
      <c r="F28" s="7"/>
      <c r="G28" s="17"/>
      <c r="H28" s="17"/>
      <c r="I28" s="9"/>
      <c r="J28" s="9"/>
      <c r="K28" s="7"/>
      <c r="L28" s="7"/>
      <c r="M28" s="15"/>
      <c r="N28" s="9"/>
      <c r="O28" s="11" t="s">
        <v>22</v>
      </c>
      <c r="P28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8"/>
        <v>🟢 SEND WHATSAPP</v>
      </c>
    </row>
    <row r="29">
      <c r="A29" s="9"/>
      <c r="B29" s="7"/>
      <c r="C29" s="7"/>
      <c r="D29" s="7"/>
      <c r="E29" s="7"/>
      <c r="F29" s="7"/>
      <c r="G29" s="17"/>
      <c r="H29" s="17"/>
      <c r="I29" s="7"/>
      <c r="J29" s="9"/>
      <c r="K29" s="7"/>
      <c r="L29" s="7"/>
      <c r="M29" s="15"/>
      <c r="N29" s="9"/>
      <c r="O29" s="11" t="s">
        <v>22</v>
      </c>
      <c r="P29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"),"")</f>
        <v/>
      </c>
      <c r="R29" s="13" t="str">
        <f t="shared" si="8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/>
      <c r="B31" s="7"/>
      <c r="C31" s="7"/>
      <c r="D31" s="7"/>
      <c r="E31" s="7"/>
      <c r="F31" s="7"/>
      <c r="G31" s="17"/>
      <c r="H31" s="17"/>
      <c r="I31" s="7"/>
      <c r="J31" s="9"/>
      <c r="K31" s="7"/>
      <c r="L31" s="7"/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/>
      <c r="B33" s="7"/>
      <c r="C33" s="7"/>
      <c r="D33" s="7"/>
      <c r="E33" s="7"/>
      <c r="F33" s="7"/>
      <c r="G33" s="17"/>
      <c r="H33" s="17"/>
      <c r="I33" s="9"/>
      <c r="J33" s="9"/>
      <c r="K33" s="7"/>
      <c r="L33" s="7"/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/>
      <c r="B34" s="7"/>
      <c r="C34" s="7"/>
      <c r="D34" s="7"/>
      <c r="E34" s="7"/>
      <c r="F34" s="7"/>
      <c r="G34" s="17"/>
      <c r="H34" s="17"/>
      <c r="I34" s="9"/>
      <c r="J34" s="9"/>
      <c r="K34" s="7"/>
      <c r="L34" s="7"/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/>
      <c r="B36" s="7"/>
      <c r="C36" s="7"/>
      <c r="D36" s="7"/>
      <c r="E36" s="7"/>
      <c r="F36" s="9"/>
      <c r="G36" s="17"/>
      <c r="H36" s="17"/>
      <c r="I36" s="9"/>
      <c r="J36" s="9"/>
      <c r="K36" s="7"/>
      <c r="L36" s="7"/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/>
      <c r="B38" s="7"/>
      <c r="C38" s="7"/>
      <c r="D38" s="7"/>
      <c r="E38" s="7"/>
      <c r="F38" s="7"/>
      <c r="G38" s="17"/>
      <c r="H38" s="17"/>
      <c r="I38" s="9"/>
      <c r="J38" s="9"/>
      <c r="K38" s="7"/>
      <c r="L38" s="7"/>
      <c r="M38" s="15"/>
      <c r="N38" s="9"/>
      <c r="O38" s="11" t="s">
        <v>22</v>
      </c>
      <c r="P38" s="12" t="str">
        <f t="shared" ref="P38:P39" si="1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12">HYPERLINK(Q38,"🟢 SEND WHATSAPP")</f>
        <v>🟢 SEND WHATSAPP</v>
      </c>
    </row>
    <row r="39">
      <c r="A39" s="9"/>
      <c r="B39" s="7"/>
      <c r="C39" s="7"/>
      <c r="D39" s="7"/>
      <c r="E39" s="7"/>
      <c r="F39" s="7"/>
      <c r="G39" s="17"/>
      <c r="H39" s="17"/>
      <c r="I39" s="9"/>
      <c r="J39" s="9"/>
      <c r="K39" s="7"/>
      <c r="L39" s="7"/>
      <c r="M39" s="15"/>
      <c r="N39" s="9"/>
      <c r="O39" s="11" t="s">
        <v>22</v>
      </c>
      <c r="P39" s="12" t="str">
        <f t="shared" si="11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1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/>
      <c r="B41" s="7"/>
      <c r="C41" s="7"/>
      <c r="D41" s="7"/>
      <c r="E41" s="7"/>
      <c r="F41" s="7"/>
      <c r="G41" s="17"/>
      <c r="H41" s="17"/>
      <c r="I41" s="9"/>
      <c r="J41" s="9"/>
      <c r="K41" s="9"/>
      <c r="L41" s="7"/>
      <c r="M41" s="15"/>
      <c r="N41" s="9"/>
      <c r="O41" s="11"/>
      <c r="P41" s="13"/>
      <c r="Q41" s="13"/>
      <c r="R41" s="13"/>
    </row>
    <row r="42">
      <c r="A42" s="9"/>
      <c r="B42" s="7"/>
      <c r="C42" s="7"/>
      <c r="D42" s="7"/>
      <c r="E42" s="7"/>
      <c r="F42" s="7"/>
      <c r="G42" s="17"/>
      <c r="H42" s="17"/>
      <c r="I42" s="9"/>
      <c r="J42" s="9"/>
      <c r="K42" s="9"/>
      <c r="L42" s="7"/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/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1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1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1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1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1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1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dataValidations>
    <dataValidation type="list" allowBlank="1" showErrorMessage="1" sqref="D2: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5.25"/>
    <col customWidth="1" min="4" max="4" width="16.38"/>
    <col customWidth="1" min="5" max="5" width="15.38"/>
    <col customWidth="1" min="6" max="6" width="24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"),0.0)</f>
        <v>0</v>
      </c>
      <c r="T1" s="6"/>
      <c r="U1" s="6"/>
      <c r="V1" s="6"/>
      <c r="W1" s="6"/>
      <c r="X1" s="6"/>
      <c r="Y1" s="6"/>
    </row>
    <row r="2" ht="18.0" customHeight="1">
      <c r="A2" s="7"/>
      <c r="B2" s="7"/>
      <c r="C2" s="7"/>
      <c r="D2" s="7"/>
      <c r="E2" s="7"/>
      <c r="F2" s="7"/>
      <c r="G2" s="8"/>
      <c r="H2" s="8"/>
      <c r="I2" s="7"/>
      <c r="J2" s="9"/>
      <c r="K2" s="9"/>
      <c r="L2" s="7"/>
      <c r="M2" s="10"/>
      <c r="N2" s="9"/>
      <c r="O2" s="11"/>
      <c r="P2" s="13"/>
      <c r="Q2" s="13"/>
      <c r="R2" s="13" t="str">
        <f t="shared" ref="R2:R3" si="1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"),"#N/A")</f>
        <v>#N/A</v>
      </c>
    </row>
    <row r="3">
      <c r="A3" s="9"/>
      <c r="B3" s="7"/>
      <c r="C3" s="7"/>
      <c r="D3" s="7"/>
      <c r="E3" s="7"/>
      <c r="F3" s="7"/>
      <c r="G3" s="8"/>
      <c r="H3" s="8"/>
      <c r="I3" s="7"/>
      <c r="J3" s="7"/>
      <c r="K3" s="7"/>
      <c r="L3" s="7"/>
      <c r="M3" s="10"/>
      <c r="N3" s="9"/>
      <c r="O3" s="11"/>
      <c r="P3" s="13"/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"),"")</f>
        <v/>
      </c>
      <c r="R3" s="13" t="str">
        <f t="shared" si="1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ref="P4:P8" si="2">IF(O4="YES",
"https://wa.me/?text=" &amp;
ENCODEURL(
IF(OR(L4="Pending",L4="In Progress"),
"⚠ *SERVICE ALERT – ATTENTION REQUIRED*" &amp; CHAR(10) &amp; CHAR(10),
"📢 *SERVICE STATUS UPDATE*" &amp; CHAR(10) &amp; CHAR(10)
) &amp;
"Service ID: " &amp; A4 &amp; CHAR(10) &amp;
"Customer: " &amp; B4 &amp; CHAR(10) &amp;
"Mobile: " &amp; C4 &amp; CHAR(10) &amp;
"Brand: " &amp; D4 &amp; CHAR(10) &amp;
"Problem: " &amp; F4 &amp; CHAR(10) &amp; CHAR(10) &amp;
"Received Date: " &amp; TEXT(G4,"dd-mmm-yyyy") &amp; CHAR(10) &amp;
"Expected Delivery Date: " &amp; TEXT(H4,"dd-mmm-yyyy") &amp; CHAR(10) &amp;
"Current Status: *" &amp; L4 &amp; "*" &amp; CHAR(10) &amp; CHAR(10) &amp;
IF(OR(L4="Pending",L4="In Progress"),
"⚠ Please follow up immediately.",
"✅ Service update for information."
) &amp; CHAR(10) &amp; CHAR(10) &amp;
"Balance Amount: ₹" &amp; K4 &amp; CHAR(10) &amp; CHAR(10) &amp;
"— SMART TIMES SERVICE"
),
"")
</f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"),"None")</f>
        <v>None</v>
      </c>
    </row>
    <row r="5" ht="21.75" customHeight="1">
      <c r="A5" s="7"/>
      <c r="B5" s="7"/>
      <c r="C5" s="7"/>
      <c r="D5" s="7"/>
      <c r="E5" s="7"/>
      <c r="F5" s="7"/>
      <c r="G5" s="8"/>
      <c r="H5" s="8"/>
      <c r="I5" s="7"/>
      <c r="J5" s="9"/>
      <c r="K5" s="7"/>
      <c r="L5" s="7"/>
      <c r="M5" s="15"/>
      <c r="N5" s="9"/>
      <c r="O5" s="11" t="s">
        <v>22</v>
      </c>
      <c r="P5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3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/>
      <c r="B6" s="7"/>
      <c r="C6" s="7"/>
      <c r="D6" s="7"/>
      <c r="E6" s="7"/>
      <c r="F6" s="7"/>
      <c r="G6" s="8"/>
      <c r="H6" s="8"/>
      <c r="I6" s="7"/>
      <c r="J6" s="9"/>
      <c r="K6" s="7"/>
      <c r="L6" s="7"/>
      <c r="M6" s="15"/>
      <c r="N6" s="9"/>
      <c r="O6" s="11" t="s">
        <v>22</v>
      </c>
      <c r="P6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3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/>
      <c r="B7" s="7"/>
      <c r="C7" s="7"/>
      <c r="D7" s="7"/>
      <c r="E7" s="7"/>
      <c r="F7" s="7"/>
      <c r="G7" s="8"/>
      <c r="H7" s="8"/>
      <c r="I7" s="7"/>
      <c r="J7" s="9"/>
      <c r="K7" s="7"/>
      <c r="L7" s="7"/>
      <c r="M7" s="10"/>
      <c r="N7" s="9"/>
      <c r="O7" s="11" t="s">
        <v>22</v>
      </c>
      <c r="P7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3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https://wa.me/?text=%F0%9F%93%8A%20SERVICE%20STATUS%20SUMMARY%0A%0A%F0%9F%94%B4%20OVERDUE%0ANone%0A%0A%F0%9F%9F%A0%20DUE%20TODAY%0ANone%0A%0A%F0%9F%94%B5%20REMAINING%0ANone%0A%0A%E2%80%94%20SMART%20TIMES%20SERVICE</v>
      </c>
    </row>
    <row r="8">
      <c r="A8" s="9"/>
      <c r="B8" s="7"/>
      <c r="C8" s="7"/>
      <c r="D8" s="7"/>
      <c r="E8" s="7"/>
      <c r="F8" s="7"/>
      <c r="G8" s="8"/>
      <c r="H8" s="17"/>
      <c r="I8" s="9"/>
      <c r="J8" s="9"/>
      <c r="K8" s="7"/>
      <c r="L8" s="7"/>
      <c r="M8" s="10"/>
      <c r="N8" s="9"/>
      <c r="O8" s="11"/>
      <c r="P8" s="13" t="str">
        <f t="shared" si="2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3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 t="str">
        <f>IFERROR(__xludf.DUMMYFUNCTION("IF(REGEXMATCH(LOWER(L9),""ready""),
""https://wa.me/91""&amp;C9&amp;""?text="" &amp;
ENCODEURL(
""📢 *SERVICE READY – READY FOR COLLECTION*"" &amp; CHAR(10) &amp; CHAR(10) &amp;
""📌 *English*"" &amp; CHAR(10) &amp;
""Dear "" &amp; B9 &amp; "","" &amp; CHAR(10) &amp;
""Your watch service is completed"&amp;" and ready for collection."" &amp; CHAR(10) &amp;
""Brand: "" &amp; D9 &amp; CHAR(10) &amp;
""Problem: "" &amp; F9 &amp; CHAR(10) &amp;
""Received Date: "" &amp; TEXT(G9,""dd-mmm-yyyy"") &amp; CHAR(10) &amp;
""Ready Date: "" &amp; TEXT(H9,""dd-mmm-yyyy"") &amp; CHAR(10) &amp;
""Balance Amount: ₹"" &amp; K9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D9 &amp; CHAR(10) &amp;
""பெறப்பட்ட தேதி: "" &amp; TEXT(G9,""dd-mmm-yyyy"") &amp; CHAR(10) &amp;
""தயார் தேதி: "" &amp; TEXT(H9,""dd-mmm-yyyy"") &amp; CHAR(10) &amp;
""மீதத் தொகை: ₹"" &amp; K9 &amp; CHAR(10) &amp; CHAR(10) &amp;
""🗺 *Google Map:* https://maps.app.goo.gl/DpPkfna7HQttx"&amp;"YXn9"" &amp; CHAR(10) &amp; CHAR(10) &amp;
""🙏 SMART TIMES SERVICE""
),
"""")
"),"")</f>
        <v/>
      </c>
      <c r="R9" s="13"/>
    </row>
    <row r="10">
      <c r="A10" s="7"/>
      <c r="B10" s="7"/>
      <c r="C10" s="7"/>
      <c r="D10" s="7"/>
      <c r="E10" s="7"/>
      <c r="F10" s="7"/>
      <c r="G10" s="17"/>
      <c r="H10" s="17"/>
      <c r="I10" s="9"/>
      <c r="J10" s="9"/>
      <c r="K10" s="7"/>
      <c r="L10" s="7"/>
      <c r="M10" s="15"/>
      <c r="N10" s="9"/>
      <c r="O10" s="11" t="s">
        <v>22</v>
      </c>
      <c r="P10" s="12" t="str">
        <f t="shared" ref="P10:P16" si="4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"),"")</f>
        <v/>
      </c>
      <c r="R10" s="13" t="str">
        <f t="shared" ref="R10:R16" si="5">HYPERLINK(Q10,"🟢 SEND WHATSAPP")</f>
        <v>🟢 SEND WHATSAPP</v>
      </c>
    </row>
    <row r="11">
      <c r="A11" s="9"/>
      <c r="B11" s="7"/>
      <c r="C11" s="7"/>
      <c r="D11" s="7"/>
      <c r="E11" s="7"/>
      <c r="F11" s="7"/>
      <c r="G11" s="17"/>
      <c r="H11" s="17"/>
      <c r="I11" s="9"/>
      <c r="J11" s="9"/>
      <c r="K11" s="7"/>
      <c r="L11" s="7"/>
      <c r="M11" s="10"/>
      <c r="N11" s="18"/>
      <c r="O11" s="11" t="s">
        <v>22</v>
      </c>
      <c r="P11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5"/>
        <v>🟢 SEND WHATSAPP</v>
      </c>
    </row>
    <row r="12">
      <c r="A12" s="9"/>
      <c r="B12" s="7"/>
      <c r="C12" s="7"/>
      <c r="D12" s="7"/>
      <c r="E12" s="7"/>
      <c r="F12" s="7"/>
      <c r="G12" s="17"/>
      <c r="H12" s="17"/>
      <c r="I12" s="7"/>
      <c r="J12" s="9"/>
      <c r="K12" s="7"/>
      <c r="L12" s="7"/>
      <c r="M12" s="10"/>
      <c r="N12" s="9"/>
      <c r="O12" s="11" t="s">
        <v>22</v>
      </c>
      <c r="P12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5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4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5"/>
        <v>🟢 SEND WHATSAPP</v>
      </c>
    </row>
    <row r="14">
      <c r="A14" s="7"/>
      <c r="B14" s="7"/>
      <c r="C14" s="7"/>
      <c r="D14" s="7"/>
      <c r="E14" s="7"/>
      <c r="F14" s="7"/>
      <c r="G14" s="17"/>
      <c r="H14" s="17"/>
      <c r="I14" s="9"/>
      <c r="J14" s="9"/>
      <c r="K14" s="7"/>
      <c r="L14" s="7"/>
      <c r="M14" s="15"/>
      <c r="N14" s="9"/>
      <c r="O14" s="11" t="s">
        <v>22</v>
      </c>
      <c r="P14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5"/>
        <v>🟢 SEND WHATSAPP</v>
      </c>
      <c r="S14" s="14" t="str">
        <f t="shared" ref="S14:S15" si="6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/>
      <c r="B15" s="7"/>
      <c r="C15" s="7"/>
      <c r="D15" s="7"/>
      <c r="E15" s="7"/>
      <c r="F15" s="7"/>
      <c r="G15" s="17"/>
      <c r="H15" s="17"/>
      <c r="I15" s="9"/>
      <c r="J15" s="9"/>
      <c r="K15" s="7"/>
      <c r="L15" s="7"/>
      <c r="M15" s="15"/>
      <c r="N15" s="9"/>
      <c r="O15" s="11" t="s">
        <v>22</v>
      </c>
      <c r="P15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5"/>
        <v>🟢 SEND WHATSAPP</v>
      </c>
      <c r="S15" s="14" t="str">
        <f t="shared" si="6"/>
        <v/>
      </c>
    </row>
    <row r="16">
      <c r="A16" s="9"/>
      <c r="B16" s="7"/>
      <c r="C16" s="7"/>
      <c r="D16" s="7"/>
      <c r="E16" s="7"/>
      <c r="F16" s="7"/>
      <c r="G16" s="17"/>
      <c r="H16" s="17"/>
      <c r="I16" s="7"/>
      <c r="J16" s="9"/>
      <c r="K16" s="7"/>
      <c r="L16" s="7"/>
      <c r="M16" s="15"/>
      <c r="N16" s="9"/>
      <c r="O16" s="11" t="s">
        <v>22</v>
      </c>
      <c r="P16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"),"")</f>
        <v/>
      </c>
      <c r="R16" s="13" t="str">
        <f t="shared" si="5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/>
      <c r="B18" s="7"/>
      <c r="C18" s="7"/>
      <c r="D18" s="7"/>
      <c r="E18" s="7"/>
      <c r="F18" s="7"/>
      <c r="G18" s="17"/>
      <c r="H18" s="7"/>
      <c r="I18" s="7"/>
      <c r="J18" s="9"/>
      <c r="K18" s="7"/>
      <c r="L18" s="7"/>
      <c r="M18" s="10"/>
      <c r="N18" s="9"/>
      <c r="O18" s="11" t="s">
        <v>22</v>
      </c>
      <c r="P18" s="12" t="str">
        <f t="shared" ref="P18:P21" si="7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8">HYPERLINK(Q18,"🟢 SEND WHATSAPP")</f>
        <v>🟢 SEND WHATSAPP</v>
      </c>
      <c r="S18" s="14" t="str">
        <f t="shared" ref="S18:S21" si="9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/>
      <c r="B19" s="7"/>
      <c r="C19" s="7"/>
      <c r="D19" s="7"/>
      <c r="E19" s="7"/>
      <c r="F19" s="7"/>
      <c r="G19" s="17"/>
      <c r="H19" s="17"/>
      <c r="I19" s="9"/>
      <c r="J19" s="9"/>
      <c r="K19" s="7"/>
      <c r="L19" s="7"/>
      <c r="M19" s="15"/>
      <c r="N19" s="18"/>
      <c r="O19" s="11" t="s">
        <v>22</v>
      </c>
      <c r="P19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"),"")</f>
        <v/>
      </c>
      <c r="R19" s="13" t="str">
        <f t="shared" si="8"/>
        <v>🟢 SEND WHATSAPP</v>
      </c>
      <c r="S19" s="14" t="str">
        <f t="shared" si="9"/>
        <v/>
      </c>
    </row>
    <row r="20">
      <c r="A20" s="9"/>
      <c r="B20" s="7"/>
      <c r="C20" s="7"/>
      <c r="D20" s="7"/>
      <c r="E20" s="7"/>
      <c r="F20" s="7"/>
      <c r="G20" s="17"/>
      <c r="H20" s="17"/>
      <c r="I20" s="7"/>
      <c r="J20" s="9"/>
      <c r="K20" s="7"/>
      <c r="L20" s="7"/>
      <c r="M20" s="15"/>
      <c r="N20" s="19"/>
      <c r="O20" s="11" t="s">
        <v>22</v>
      </c>
      <c r="P20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8"/>
        <v>🟢 SEND WHATSAPP</v>
      </c>
      <c r="S20" s="14" t="str">
        <f t="shared" si="9"/>
        <v/>
      </c>
    </row>
    <row r="21">
      <c r="A21" s="9"/>
      <c r="B21" s="7"/>
      <c r="C21" s="7"/>
      <c r="D21" s="7"/>
      <c r="E21" s="7"/>
      <c r="F21" s="7"/>
      <c r="G21" s="17"/>
      <c r="H21" s="17"/>
      <c r="I21" s="9"/>
      <c r="J21" s="9"/>
      <c r="K21" s="7"/>
      <c r="L21" s="7"/>
      <c r="M21" s="15"/>
      <c r="N21" s="9"/>
      <c r="O21" s="11" t="s">
        <v>22</v>
      </c>
      <c r="P21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8"/>
        <v>🟢 SEND WHATSAPP</v>
      </c>
      <c r="S21" s="14" t="str">
        <f t="shared" si="9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8"/>
        <v>🟢 SEND WHATSAPP</v>
      </c>
    </row>
    <row r="23">
      <c r="A23" s="9"/>
      <c r="B23" s="7"/>
      <c r="C23" s="7"/>
      <c r="D23" s="7"/>
      <c r="E23" s="7"/>
      <c r="F23" s="7"/>
      <c r="G23" s="17"/>
      <c r="H23" s="17"/>
      <c r="I23" s="7"/>
      <c r="J23" s="9"/>
      <c r="K23" s="7"/>
      <c r="L23" s="7"/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"),"")</f>
        <v/>
      </c>
      <c r="R23" s="13" t="str">
        <f t="shared" si="8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8"/>
        <v>🟢 SEND WHATSAPP</v>
      </c>
    </row>
    <row r="25">
      <c r="A25" s="9"/>
      <c r="B25" s="7"/>
      <c r="C25" s="7"/>
      <c r="D25" s="7"/>
      <c r="E25" s="7"/>
      <c r="F25" s="7"/>
      <c r="G25" s="17"/>
      <c r="H25" s="17"/>
      <c r="I25" s="9"/>
      <c r="J25" s="9"/>
      <c r="K25" s="7"/>
      <c r="L25" s="7"/>
      <c r="M25" s="15"/>
      <c r="N25" s="9"/>
      <c r="O25" s="11" t="s">
        <v>22</v>
      </c>
      <c r="P25" s="12" t="str">
        <f t="shared" ref="P25:P29" si="10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8"/>
        <v>🟢 SEND WHATSAPP</v>
      </c>
    </row>
    <row r="26">
      <c r="A26" s="9"/>
      <c r="B26" s="7"/>
      <c r="C26" s="7"/>
      <c r="D26" s="7"/>
      <c r="E26" s="7"/>
      <c r="F26" s="7"/>
      <c r="G26" s="17"/>
      <c r="H26" s="17"/>
      <c r="I26" s="7"/>
      <c r="J26" s="9"/>
      <c r="K26" s="7"/>
      <c r="L26" s="7"/>
      <c r="M26" s="15"/>
      <c r="N26" s="9"/>
      <c r="O26" s="11" t="s">
        <v>22</v>
      </c>
      <c r="P26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"),"")</f>
        <v/>
      </c>
      <c r="R26" s="13" t="str">
        <f t="shared" si="8"/>
        <v>🟢 SEND WHATSAPP</v>
      </c>
    </row>
    <row r="27">
      <c r="A27" s="9"/>
      <c r="B27" s="7"/>
      <c r="C27" s="7"/>
      <c r="D27" s="7"/>
      <c r="E27" s="7"/>
      <c r="F27" s="7"/>
      <c r="G27" s="17"/>
      <c r="H27" s="17"/>
      <c r="I27" s="7"/>
      <c r="J27" s="9"/>
      <c r="K27" s="7"/>
      <c r="L27" s="7"/>
      <c r="M27" s="10"/>
      <c r="N27" s="9"/>
      <c r="O27" s="11" t="s">
        <v>22</v>
      </c>
      <c r="P27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8"/>
        <v>🟢 SEND WHATSAPP</v>
      </c>
    </row>
    <row r="28">
      <c r="A28" s="9"/>
      <c r="B28" s="7"/>
      <c r="C28" s="7"/>
      <c r="D28" s="7"/>
      <c r="E28" s="7"/>
      <c r="F28" s="7"/>
      <c r="G28" s="17"/>
      <c r="H28" s="17"/>
      <c r="I28" s="9"/>
      <c r="J28" s="9"/>
      <c r="K28" s="7"/>
      <c r="L28" s="7"/>
      <c r="M28" s="15"/>
      <c r="N28" s="9"/>
      <c r="O28" s="11" t="s">
        <v>22</v>
      </c>
      <c r="P28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8"/>
        <v>🟢 SEND WHATSAPP</v>
      </c>
    </row>
    <row r="29">
      <c r="A29" s="9"/>
      <c r="B29" s="7"/>
      <c r="C29" s="7"/>
      <c r="D29" s="7"/>
      <c r="E29" s="7"/>
      <c r="F29" s="7"/>
      <c r="G29" s="17"/>
      <c r="H29" s="17"/>
      <c r="I29" s="7"/>
      <c r="J29" s="9"/>
      <c r="K29" s="7"/>
      <c r="L29" s="7"/>
      <c r="M29" s="15"/>
      <c r="N29" s="9"/>
      <c r="O29" s="11" t="s">
        <v>22</v>
      </c>
      <c r="P29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"),"")</f>
        <v/>
      </c>
      <c r="R29" s="13" t="str">
        <f t="shared" si="8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/>
      <c r="B31" s="7"/>
      <c r="C31" s="7"/>
      <c r="D31" s="7"/>
      <c r="E31" s="7"/>
      <c r="F31" s="7"/>
      <c r="G31" s="17"/>
      <c r="H31" s="17"/>
      <c r="I31" s="7"/>
      <c r="J31" s="9"/>
      <c r="K31" s="7"/>
      <c r="L31" s="7"/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/>
      <c r="B33" s="7"/>
      <c r="C33" s="7"/>
      <c r="D33" s="7"/>
      <c r="E33" s="7"/>
      <c r="F33" s="7"/>
      <c r="G33" s="17"/>
      <c r="H33" s="17"/>
      <c r="I33" s="9"/>
      <c r="J33" s="9"/>
      <c r="K33" s="7"/>
      <c r="L33" s="7"/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/>
      <c r="B34" s="7"/>
      <c r="C34" s="7"/>
      <c r="D34" s="7"/>
      <c r="E34" s="7"/>
      <c r="F34" s="7"/>
      <c r="G34" s="17"/>
      <c r="H34" s="17"/>
      <c r="I34" s="9"/>
      <c r="J34" s="9"/>
      <c r="K34" s="7"/>
      <c r="L34" s="7"/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/>
      <c r="B36" s="7"/>
      <c r="C36" s="7"/>
      <c r="D36" s="7"/>
      <c r="E36" s="7"/>
      <c r="F36" s="9"/>
      <c r="G36" s="17"/>
      <c r="H36" s="17"/>
      <c r="I36" s="9"/>
      <c r="J36" s="9"/>
      <c r="K36" s="7"/>
      <c r="L36" s="7"/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/>
      <c r="B38" s="7"/>
      <c r="C38" s="7"/>
      <c r="D38" s="7"/>
      <c r="E38" s="7"/>
      <c r="F38" s="7"/>
      <c r="G38" s="17"/>
      <c r="H38" s="17"/>
      <c r="I38" s="9"/>
      <c r="J38" s="9"/>
      <c r="K38" s="7"/>
      <c r="L38" s="7"/>
      <c r="M38" s="15"/>
      <c r="N38" s="9"/>
      <c r="O38" s="11" t="s">
        <v>22</v>
      </c>
      <c r="P38" s="12" t="str">
        <f t="shared" ref="P38:P39" si="1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12">HYPERLINK(Q38,"🟢 SEND WHATSAPP")</f>
        <v>🟢 SEND WHATSAPP</v>
      </c>
    </row>
    <row r="39">
      <c r="A39" s="9"/>
      <c r="B39" s="7"/>
      <c r="C39" s="7"/>
      <c r="D39" s="7"/>
      <c r="E39" s="7"/>
      <c r="F39" s="7"/>
      <c r="G39" s="17"/>
      <c r="H39" s="17"/>
      <c r="I39" s="9"/>
      <c r="J39" s="9"/>
      <c r="K39" s="7"/>
      <c r="L39" s="7"/>
      <c r="M39" s="15"/>
      <c r="N39" s="9"/>
      <c r="O39" s="11" t="s">
        <v>22</v>
      </c>
      <c r="P39" s="12" t="str">
        <f t="shared" si="11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1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/>
      <c r="B41" s="7"/>
      <c r="C41" s="7"/>
      <c r="D41" s="7"/>
      <c r="E41" s="7"/>
      <c r="F41" s="7"/>
      <c r="G41" s="17"/>
      <c r="H41" s="17"/>
      <c r="I41" s="9"/>
      <c r="J41" s="9"/>
      <c r="K41" s="9"/>
      <c r="L41" s="7"/>
      <c r="M41" s="15"/>
      <c r="N41" s="9"/>
      <c r="O41" s="11"/>
      <c r="P41" s="13"/>
      <c r="Q41" s="13"/>
      <c r="R41" s="13"/>
    </row>
    <row r="42">
      <c r="A42" s="9"/>
      <c r="B42" s="7"/>
      <c r="C42" s="7"/>
      <c r="D42" s="7"/>
      <c r="E42" s="7"/>
      <c r="F42" s="7"/>
      <c r="G42" s="17"/>
      <c r="H42" s="17"/>
      <c r="I42" s="9"/>
      <c r="J42" s="9"/>
      <c r="K42" s="9"/>
      <c r="L42" s="7"/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/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1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1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1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1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1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1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dataValidations>
    <dataValidation type="list" allowBlank="1" showErrorMessage="1" sqref="D2: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5.25"/>
    <col customWidth="1" min="4" max="4" width="16.38"/>
    <col customWidth="1" min="5" max="5" width="15.38"/>
    <col customWidth="1" min="6" max="6" width="24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"),0.0)</f>
        <v>0</v>
      </c>
      <c r="T1" s="6"/>
      <c r="U1" s="6"/>
      <c r="V1" s="6"/>
      <c r="W1" s="6"/>
      <c r="X1" s="6"/>
      <c r="Y1" s="6"/>
    </row>
    <row r="2" ht="18.0" customHeight="1">
      <c r="A2" s="7"/>
      <c r="B2" s="7"/>
      <c r="C2" s="7"/>
      <c r="D2" s="7"/>
      <c r="E2" s="7"/>
      <c r="F2" s="7"/>
      <c r="G2" s="8"/>
      <c r="H2" s="8"/>
      <c r="I2" s="7"/>
      <c r="J2" s="9"/>
      <c r="K2" s="9"/>
      <c r="L2" s="7"/>
      <c r="M2" s="10"/>
      <c r="N2" s="9"/>
      <c r="O2" s="11"/>
      <c r="P2" s="13"/>
      <c r="Q2" s="13"/>
      <c r="R2" s="13" t="str">
        <f t="shared" ref="R2:R3" si="1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"),"#N/A")</f>
        <v>#N/A</v>
      </c>
    </row>
    <row r="3">
      <c r="A3" s="9"/>
      <c r="B3" s="7"/>
      <c r="C3" s="7"/>
      <c r="D3" s="7"/>
      <c r="E3" s="7"/>
      <c r="F3" s="7"/>
      <c r="G3" s="8"/>
      <c r="H3" s="8"/>
      <c r="I3" s="7"/>
      <c r="J3" s="7"/>
      <c r="K3" s="7"/>
      <c r="L3" s="7"/>
      <c r="M3" s="10"/>
      <c r="N3" s="9"/>
      <c r="O3" s="11"/>
      <c r="P3" s="13"/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"),"")</f>
        <v/>
      </c>
      <c r="R3" s="13" t="str">
        <f t="shared" si="1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ref="P4:P8" si="2">IF(O4="YES",
"https://wa.me/?text=" &amp;
ENCODEURL(
IF(OR(L4="Pending",L4="In Progress"),
"⚠ *SERVICE ALERT – ATTENTION REQUIRED*" &amp; CHAR(10) &amp; CHAR(10),
"📢 *SERVICE STATUS UPDATE*" &amp; CHAR(10) &amp; CHAR(10)
) &amp;
"Service ID: " &amp; A4 &amp; CHAR(10) &amp;
"Customer: " &amp; B4 &amp; CHAR(10) &amp;
"Mobile: " &amp; C4 &amp; CHAR(10) &amp;
"Brand: " &amp; D4 &amp; CHAR(10) &amp;
"Problem: " &amp; F4 &amp; CHAR(10) &amp; CHAR(10) &amp;
"Received Date: " &amp; TEXT(G4,"dd-mmm-yyyy") &amp; CHAR(10) &amp;
"Expected Delivery Date: " &amp; TEXT(H4,"dd-mmm-yyyy") &amp; CHAR(10) &amp;
"Current Status: *" &amp; L4 &amp; "*" &amp; CHAR(10) &amp; CHAR(10) &amp;
IF(OR(L4="Pending",L4="In Progress"),
"⚠ Please follow up immediately.",
"✅ Service update for information."
) &amp; CHAR(10) &amp; CHAR(10) &amp;
"Balance Amount: ₹" &amp; K4 &amp; CHAR(10) &amp; CHAR(10) &amp;
"— SMART TIMES SERVICE"
),
"")
</f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"),"None")</f>
        <v>None</v>
      </c>
    </row>
    <row r="5" ht="21.75" customHeight="1">
      <c r="A5" s="7"/>
      <c r="B5" s="7"/>
      <c r="C5" s="7"/>
      <c r="D5" s="7"/>
      <c r="E5" s="7"/>
      <c r="F5" s="7"/>
      <c r="G5" s="8"/>
      <c r="H5" s="8"/>
      <c r="I5" s="7"/>
      <c r="J5" s="9"/>
      <c r="K5" s="7"/>
      <c r="L5" s="7"/>
      <c r="M5" s="15"/>
      <c r="N5" s="9"/>
      <c r="O5" s="11" t="s">
        <v>22</v>
      </c>
      <c r="P5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3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/>
      <c r="B6" s="7"/>
      <c r="C6" s="7"/>
      <c r="D6" s="7"/>
      <c r="E6" s="7"/>
      <c r="F6" s="7"/>
      <c r="G6" s="8"/>
      <c r="H6" s="8"/>
      <c r="I6" s="7"/>
      <c r="J6" s="9"/>
      <c r="K6" s="7"/>
      <c r="L6" s="7"/>
      <c r="M6" s="15"/>
      <c r="N6" s="9"/>
      <c r="O6" s="11" t="s">
        <v>22</v>
      </c>
      <c r="P6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3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/>
      <c r="B7" s="7"/>
      <c r="C7" s="7"/>
      <c r="D7" s="7"/>
      <c r="E7" s="7"/>
      <c r="F7" s="7"/>
      <c r="G7" s="8"/>
      <c r="H7" s="8"/>
      <c r="I7" s="7"/>
      <c r="J7" s="9"/>
      <c r="K7" s="7"/>
      <c r="L7" s="7"/>
      <c r="M7" s="10"/>
      <c r="N7" s="9"/>
      <c r="O7" s="11" t="s">
        <v>22</v>
      </c>
      <c r="P7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3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https://wa.me/?text=%F0%9F%93%8A%20SERVICE%20STATUS%20SUMMARY%0A%0A%F0%9F%94%B4%20OVERDUE%0ANone%0A%0A%F0%9F%9F%A0%20DUE%20TODAY%0ANone%0A%0A%F0%9F%94%B5%20REMAINING%0ANone%0A%0A%E2%80%94%20SMART%20TIMES%20SERVICE</v>
      </c>
    </row>
    <row r="8">
      <c r="A8" s="9"/>
      <c r="B8" s="7"/>
      <c r="C8" s="7"/>
      <c r="D8" s="7"/>
      <c r="E8" s="7"/>
      <c r="F8" s="7"/>
      <c r="G8" s="8"/>
      <c r="H8" s="17"/>
      <c r="I8" s="9"/>
      <c r="J8" s="9"/>
      <c r="K8" s="7"/>
      <c r="L8" s="7"/>
      <c r="M8" s="10"/>
      <c r="N8" s="9"/>
      <c r="O8" s="11"/>
      <c r="P8" s="13" t="str">
        <f t="shared" si="2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3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 t="str">
        <f>IFERROR(__xludf.DUMMYFUNCTION("IF(REGEXMATCH(LOWER(L9),""ready""),
""https://wa.me/91""&amp;C9&amp;""?text="" &amp;
ENCODEURL(
""📢 *SERVICE READY – READY FOR COLLECTION*"" &amp; CHAR(10) &amp; CHAR(10) &amp;
""📌 *English*"" &amp; CHAR(10) &amp;
""Dear "" &amp; B9 &amp; "","" &amp; CHAR(10) &amp;
""Your watch service is completed"&amp;" and ready for collection."" &amp; CHAR(10) &amp;
""Brand: "" &amp; D9 &amp; CHAR(10) &amp;
""Problem: "" &amp; F9 &amp; CHAR(10) &amp;
""Received Date: "" &amp; TEXT(G9,""dd-mmm-yyyy"") &amp; CHAR(10) &amp;
""Ready Date: "" &amp; TEXT(H9,""dd-mmm-yyyy"") &amp; CHAR(10) &amp;
""Balance Amount: ₹"" &amp; K9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D9 &amp; CHAR(10) &amp;
""பெறப்பட்ட தேதி: "" &amp; TEXT(G9,""dd-mmm-yyyy"") &amp; CHAR(10) &amp;
""தயார் தேதி: "" &amp; TEXT(H9,""dd-mmm-yyyy"") &amp; CHAR(10) &amp;
""மீதத் தொகை: ₹"" &amp; K9 &amp; CHAR(10) &amp; CHAR(10) &amp;
""🗺 *Google Map:* https://maps.app.goo.gl/DpPkfna7HQttx"&amp;"YXn9"" &amp; CHAR(10) &amp; CHAR(10) &amp;
""🙏 SMART TIMES SERVICE""
),
"""")
"),"")</f>
        <v/>
      </c>
      <c r="R9" s="13"/>
    </row>
    <row r="10">
      <c r="A10" s="7"/>
      <c r="B10" s="7"/>
      <c r="C10" s="7"/>
      <c r="D10" s="7"/>
      <c r="E10" s="7"/>
      <c r="F10" s="7"/>
      <c r="G10" s="17"/>
      <c r="H10" s="17"/>
      <c r="I10" s="9"/>
      <c r="J10" s="9"/>
      <c r="K10" s="7"/>
      <c r="L10" s="7"/>
      <c r="M10" s="15"/>
      <c r="N10" s="9"/>
      <c r="O10" s="11" t="s">
        <v>22</v>
      </c>
      <c r="P10" s="12" t="str">
        <f t="shared" ref="P10:P16" si="4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"),"")</f>
        <v/>
      </c>
      <c r="R10" s="13" t="str">
        <f t="shared" ref="R10:R16" si="5">HYPERLINK(Q10,"🟢 SEND WHATSAPP")</f>
        <v>🟢 SEND WHATSAPP</v>
      </c>
    </row>
    <row r="11">
      <c r="A11" s="9"/>
      <c r="B11" s="7"/>
      <c r="C11" s="7"/>
      <c r="D11" s="7"/>
      <c r="E11" s="7"/>
      <c r="F11" s="7"/>
      <c r="G11" s="17"/>
      <c r="H11" s="17"/>
      <c r="I11" s="9"/>
      <c r="J11" s="9"/>
      <c r="K11" s="7"/>
      <c r="L11" s="7"/>
      <c r="M11" s="10"/>
      <c r="N11" s="18"/>
      <c r="O11" s="11" t="s">
        <v>22</v>
      </c>
      <c r="P11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5"/>
        <v>🟢 SEND WHATSAPP</v>
      </c>
    </row>
    <row r="12">
      <c r="A12" s="9"/>
      <c r="B12" s="7"/>
      <c r="C12" s="7"/>
      <c r="D12" s="7"/>
      <c r="E12" s="7"/>
      <c r="F12" s="7"/>
      <c r="G12" s="17"/>
      <c r="H12" s="17"/>
      <c r="I12" s="7"/>
      <c r="J12" s="9"/>
      <c r="K12" s="7"/>
      <c r="L12" s="7"/>
      <c r="M12" s="10"/>
      <c r="N12" s="9"/>
      <c r="O12" s="11" t="s">
        <v>22</v>
      </c>
      <c r="P12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5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4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5"/>
        <v>🟢 SEND WHATSAPP</v>
      </c>
    </row>
    <row r="14">
      <c r="A14" s="7"/>
      <c r="B14" s="7"/>
      <c r="C14" s="7"/>
      <c r="D14" s="7"/>
      <c r="E14" s="7"/>
      <c r="F14" s="7"/>
      <c r="G14" s="17"/>
      <c r="H14" s="17"/>
      <c r="I14" s="9"/>
      <c r="J14" s="9"/>
      <c r="K14" s="7"/>
      <c r="L14" s="7"/>
      <c r="M14" s="15"/>
      <c r="N14" s="9"/>
      <c r="O14" s="11" t="s">
        <v>22</v>
      </c>
      <c r="P14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5"/>
        <v>🟢 SEND WHATSAPP</v>
      </c>
      <c r="S14" s="14" t="str">
        <f t="shared" ref="S14:S15" si="6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/>
      <c r="B15" s="7"/>
      <c r="C15" s="7"/>
      <c r="D15" s="7"/>
      <c r="E15" s="7"/>
      <c r="F15" s="7"/>
      <c r="G15" s="17"/>
      <c r="H15" s="17"/>
      <c r="I15" s="9"/>
      <c r="J15" s="9"/>
      <c r="K15" s="7"/>
      <c r="L15" s="7"/>
      <c r="M15" s="15"/>
      <c r="N15" s="9"/>
      <c r="O15" s="11" t="s">
        <v>22</v>
      </c>
      <c r="P15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5"/>
        <v>🟢 SEND WHATSAPP</v>
      </c>
      <c r="S15" s="14" t="str">
        <f t="shared" si="6"/>
        <v/>
      </c>
    </row>
    <row r="16">
      <c r="A16" s="9"/>
      <c r="B16" s="7"/>
      <c r="C16" s="7"/>
      <c r="D16" s="7"/>
      <c r="E16" s="7"/>
      <c r="F16" s="7"/>
      <c r="G16" s="17"/>
      <c r="H16" s="17"/>
      <c r="I16" s="7"/>
      <c r="J16" s="9"/>
      <c r="K16" s="7"/>
      <c r="L16" s="7"/>
      <c r="M16" s="15"/>
      <c r="N16" s="9"/>
      <c r="O16" s="11" t="s">
        <v>22</v>
      </c>
      <c r="P16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"),"")</f>
        <v/>
      </c>
      <c r="R16" s="13" t="str">
        <f t="shared" si="5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/>
      <c r="B18" s="7"/>
      <c r="C18" s="7"/>
      <c r="D18" s="7"/>
      <c r="E18" s="7"/>
      <c r="F18" s="7"/>
      <c r="G18" s="17"/>
      <c r="H18" s="7"/>
      <c r="I18" s="7"/>
      <c r="J18" s="9"/>
      <c r="K18" s="7"/>
      <c r="L18" s="7"/>
      <c r="M18" s="10"/>
      <c r="N18" s="9"/>
      <c r="O18" s="11" t="s">
        <v>22</v>
      </c>
      <c r="P18" s="12" t="str">
        <f t="shared" ref="P18:P21" si="7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8">HYPERLINK(Q18,"🟢 SEND WHATSAPP")</f>
        <v>🟢 SEND WHATSAPP</v>
      </c>
      <c r="S18" s="14" t="str">
        <f t="shared" ref="S18:S21" si="9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/>
      <c r="B19" s="7"/>
      <c r="C19" s="7"/>
      <c r="D19" s="7"/>
      <c r="E19" s="7"/>
      <c r="F19" s="7"/>
      <c r="G19" s="17"/>
      <c r="H19" s="17"/>
      <c r="I19" s="9"/>
      <c r="J19" s="9"/>
      <c r="K19" s="7"/>
      <c r="L19" s="7"/>
      <c r="M19" s="15"/>
      <c r="N19" s="18"/>
      <c r="O19" s="11" t="s">
        <v>22</v>
      </c>
      <c r="P19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"),"")</f>
        <v/>
      </c>
      <c r="R19" s="13" t="str">
        <f t="shared" si="8"/>
        <v>🟢 SEND WHATSAPP</v>
      </c>
      <c r="S19" s="14" t="str">
        <f t="shared" si="9"/>
        <v/>
      </c>
    </row>
    <row r="20">
      <c r="A20" s="9"/>
      <c r="B20" s="7"/>
      <c r="C20" s="7"/>
      <c r="D20" s="7"/>
      <c r="E20" s="7"/>
      <c r="F20" s="7"/>
      <c r="G20" s="17"/>
      <c r="H20" s="17"/>
      <c r="I20" s="7"/>
      <c r="J20" s="9"/>
      <c r="K20" s="7"/>
      <c r="L20" s="7"/>
      <c r="M20" s="15"/>
      <c r="N20" s="19"/>
      <c r="O20" s="11" t="s">
        <v>22</v>
      </c>
      <c r="P20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8"/>
        <v>🟢 SEND WHATSAPP</v>
      </c>
      <c r="S20" s="14" t="str">
        <f t="shared" si="9"/>
        <v/>
      </c>
    </row>
    <row r="21">
      <c r="A21" s="9"/>
      <c r="B21" s="7"/>
      <c r="C21" s="7"/>
      <c r="D21" s="7"/>
      <c r="E21" s="7"/>
      <c r="F21" s="7"/>
      <c r="G21" s="17"/>
      <c r="H21" s="17"/>
      <c r="I21" s="9"/>
      <c r="J21" s="9"/>
      <c r="K21" s="7"/>
      <c r="L21" s="7"/>
      <c r="M21" s="15"/>
      <c r="N21" s="9"/>
      <c r="O21" s="11" t="s">
        <v>22</v>
      </c>
      <c r="P21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8"/>
        <v>🟢 SEND WHATSAPP</v>
      </c>
      <c r="S21" s="14" t="str">
        <f t="shared" si="9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8"/>
        <v>🟢 SEND WHATSAPP</v>
      </c>
    </row>
    <row r="23">
      <c r="A23" s="9"/>
      <c r="B23" s="7"/>
      <c r="C23" s="7"/>
      <c r="D23" s="7"/>
      <c r="E23" s="7"/>
      <c r="F23" s="7"/>
      <c r="G23" s="17"/>
      <c r="H23" s="17"/>
      <c r="I23" s="7"/>
      <c r="J23" s="9"/>
      <c r="K23" s="7"/>
      <c r="L23" s="7"/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"),"")</f>
        <v/>
      </c>
      <c r="R23" s="13" t="str">
        <f t="shared" si="8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8"/>
        <v>🟢 SEND WHATSAPP</v>
      </c>
    </row>
    <row r="25">
      <c r="A25" s="9"/>
      <c r="B25" s="7"/>
      <c r="C25" s="7"/>
      <c r="D25" s="7"/>
      <c r="E25" s="7"/>
      <c r="F25" s="7"/>
      <c r="G25" s="17"/>
      <c r="H25" s="17"/>
      <c r="I25" s="9"/>
      <c r="J25" s="9"/>
      <c r="K25" s="7"/>
      <c r="L25" s="7"/>
      <c r="M25" s="15"/>
      <c r="N25" s="9"/>
      <c r="O25" s="11" t="s">
        <v>22</v>
      </c>
      <c r="P25" s="12" t="str">
        <f t="shared" ref="P25:P29" si="10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8"/>
        <v>🟢 SEND WHATSAPP</v>
      </c>
    </row>
    <row r="26">
      <c r="A26" s="9"/>
      <c r="B26" s="7"/>
      <c r="C26" s="7"/>
      <c r="D26" s="7"/>
      <c r="E26" s="7"/>
      <c r="F26" s="7"/>
      <c r="G26" s="17"/>
      <c r="H26" s="17"/>
      <c r="I26" s="7"/>
      <c r="J26" s="9"/>
      <c r="K26" s="7"/>
      <c r="L26" s="7"/>
      <c r="M26" s="15"/>
      <c r="N26" s="9"/>
      <c r="O26" s="11" t="s">
        <v>22</v>
      </c>
      <c r="P26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"),"")</f>
        <v/>
      </c>
      <c r="R26" s="13" t="str">
        <f t="shared" si="8"/>
        <v>🟢 SEND WHATSAPP</v>
      </c>
    </row>
    <row r="27">
      <c r="A27" s="9"/>
      <c r="B27" s="7"/>
      <c r="C27" s="7"/>
      <c r="D27" s="7"/>
      <c r="E27" s="7"/>
      <c r="F27" s="7"/>
      <c r="G27" s="17"/>
      <c r="H27" s="17"/>
      <c r="I27" s="7"/>
      <c r="J27" s="9"/>
      <c r="K27" s="7"/>
      <c r="L27" s="7"/>
      <c r="M27" s="10"/>
      <c r="N27" s="9"/>
      <c r="O27" s="11" t="s">
        <v>22</v>
      </c>
      <c r="P27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8"/>
        <v>🟢 SEND WHATSAPP</v>
      </c>
    </row>
    <row r="28">
      <c r="A28" s="9"/>
      <c r="B28" s="7"/>
      <c r="C28" s="7"/>
      <c r="D28" s="7"/>
      <c r="E28" s="7"/>
      <c r="F28" s="7"/>
      <c r="G28" s="17"/>
      <c r="H28" s="17"/>
      <c r="I28" s="9"/>
      <c r="J28" s="9"/>
      <c r="K28" s="7"/>
      <c r="L28" s="7"/>
      <c r="M28" s="15"/>
      <c r="N28" s="9"/>
      <c r="O28" s="11" t="s">
        <v>22</v>
      </c>
      <c r="P28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8"/>
        <v>🟢 SEND WHATSAPP</v>
      </c>
    </row>
    <row r="29">
      <c r="A29" s="9"/>
      <c r="B29" s="7"/>
      <c r="C29" s="7"/>
      <c r="D29" s="7"/>
      <c r="E29" s="7"/>
      <c r="F29" s="7"/>
      <c r="G29" s="17"/>
      <c r="H29" s="17"/>
      <c r="I29" s="7"/>
      <c r="J29" s="9"/>
      <c r="K29" s="7"/>
      <c r="L29" s="7"/>
      <c r="M29" s="15"/>
      <c r="N29" s="9"/>
      <c r="O29" s="11" t="s">
        <v>22</v>
      </c>
      <c r="P29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"),"")</f>
        <v/>
      </c>
      <c r="R29" s="13" t="str">
        <f t="shared" si="8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/>
      <c r="B31" s="7"/>
      <c r="C31" s="7"/>
      <c r="D31" s="7"/>
      <c r="E31" s="7"/>
      <c r="F31" s="7"/>
      <c r="G31" s="17"/>
      <c r="H31" s="17"/>
      <c r="I31" s="7"/>
      <c r="J31" s="9"/>
      <c r="K31" s="7"/>
      <c r="L31" s="7"/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/>
      <c r="B33" s="7"/>
      <c r="C33" s="7"/>
      <c r="D33" s="7"/>
      <c r="E33" s="7"/>
      <c r="F33" s="7"/>
      <c r="G33" s="17"/>
      <c r="H33" s="17"/>
      <c r="I33" s="9"/>
      <c r="J33" s="9"/>
      <c r="K33" s="7"/>
      <c r="L33" s="7"/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/>
      <c r="B34" s="7"/>
      <c r="C34" s="7"/>
      <c r="D34" s="7"/>
      <c r="E34" s="7"/>
      <c r="F34" s="7"/>
      <c r="G34" s="17"/>
      <c r="H34" s="17"/>
      <c r="I34" s="9"/>
      <c r="J34" s="9"/>
      <c r="K34" s="7"/>
      <c r="L34" s="7"/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/>
      <c r="B36" s="7"/>
      <c r="C36" s="7"/>
      <c r="D36" s="7"/>
      <c r="E36" s="7"/>
      <c r="F36" s="9"/>
      <c r="G36" s="17"/>
      <c r="H36" s="17"/>
      <c r="I36" s="9"/>
      <c r="J36" s="9"/>
      <c r="K36" s="7"/>
      <c r="L36" s="7"/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/>
      <c r="B38" s="7"/>
      <c r="C38" s="7"/>
      <c r="D38" s="7"/>
      <c r="E38" s="7"/>
      <c r="F38" s="7"/>
      <c r="G38" s="17"/>
      <c r="H38" s="17"/>
      <c r="I38" s="9"/>
      <c r="J38" s="9"/>
      <c r="K38" s="7"/>
      <c r="L38" s="7"/>
      <c r="M38" s="15"/>
      <c r="N38" s="9"/>
      <c r="O38" s="11" t="s">
        <v>22</v>
      </c>
      <c r="P38" s="12" t="str">
        <f t="shared" ref="P38:P39" si="1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12">HYPERLINK(Q38,"🟢 SEND WHATSAPP")</f>
        <v>🟢 SEND WHATSAPP</v>
      </c>
    </row>
    <row r="39">
      <c r="A39" s="9"/>
      <c r="B39" s="7"/>
      <c r="C39" s="7"/>
      <c r="D39" s="7"/>
      <c r="E39" s="7"/>
      <c r="F39" s="7"/>
      <c r="G39" s="17"/>
      <c r="H39" s="17"/>
      <c r="I39" s="9"/>
      <c r="J39" s="9"/>
      <c r="K39" s="7"/>
      <c r="L39" s="7"/>
      <c r="M39" s="15"/>
      <c r="N39" s="9"/>
      <c r="O39" s="11" t="s">
        <v>22</v>
      </c>
      <c r="P39" s="12" t="str">
        <f t="shared" si="11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1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/>
      <c r="B41" s="7"/>
      <c r="C41" s="7"/>
      <c r="D41" s="7"/>
      <c r="E41" s="7"/>
      <c r="F41" s="7"/>
      <c r="G41" s="17"/>
      <c r="H41" s="17"/>
      <c r="I41" s="9"/>
      <c r="J41" s="9"/>
      <c r="K41" s="9"/>
      <c r="L41" s="7"/>
      <c r="M41" s="15"/>
      <c r="N41" s="9"/>
      <c r="O41" s="11"/>
      <c r="P41" s="13"/>
      <c r="Q41" s="13"/>
      <c r="R41" s="13"/>
    </row>
    <row r="42">
      <c r="A42" s="9"/>
      <c r="B42" s="7"/>
      <c r="C42" s="7"/>
      <c r="D42" s="7"/>
      <c r="E42" s="7"/>
      <c r="F42" s="7"/>
      <c r="G42" s="17"/>
      <c r="H42" s="17"/>
      <c r="I42" s="9"/>
      <c r="J42" s="9"/>
      <c r="K42" s="9"/>
      <c r="L42" s="7"/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/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1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1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1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1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1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1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dataValidations>
    <dataValidation type="list" allowBlank="1" showErrorMessage="1" sqref="D2: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5.25"/>
    <col customWidth="1" min="4" max="4" width="16.38"/>
    <col customWidth="1" min="5" max="5" width="15.38"/>
    <col customWidth="1" min="6" max="6" width="24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"),0.0)</f>
        <v>0</v>
      </c>
      <c r="T1" s="6"/>
      <c r="U1" s="6"/>
      <c r="V1" s="6"/>
      <c r="W1" s="6"/>
      <c r="X1" s="6"/>
      <c r="Y1" s="6"/>
    </row>
    <row r="2" ht="18.0" customHeight="1">
      <c r="A2" s="7"/>
      <c r="B2" s="7"/>
      <c r="C2" s="7"/>
      <c r="D2" s="7"/>
      <c r="E2" s="7"/>
      <c r="F2" s="7"/>
      <c r="G2" s="8"/>
      <c r="H2" s="8"/>
      <c r="I2" s="7"/>
      <c r="J2" s="9"/>
      <c r="K2" s="9"/>
      <c r="L2" s="7"/>
      <c r="M2" s="10"/>
      <c r="N2" s="9"/>
      <c r="O2" s="11"/>
      <c r="P2" s="13"/>
      <c r="Q2" s="13"/>
      <c r="R2" s="13" t="str">
        <f t="shared" ref="R2:R3" si="1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"),"#N/A")</f>
        <v>#N/A</v>
      </c>
    </row>
    <row r="3">
      <c r="A3" s="9"/>
      <c r="B3" s="7"/>
      <c r="C3" s="7"/>
      <c r="D3" s="7"/>
      <c r="E3" s="7"/>
      <c r="F3" s="7"/>
      <c r="G3" s="8"/>
      <c r="H3" s="8"/>
      <c r="I3" s="7"/>
      <c r="J3" s="7"/>
      <c r="K3" s="7"/>
      <c r="L3" s="7"/>
      <c r="M3" s="10"/>
      <c r="N3" s="9"/>
      <c r="O3" s="11"/>
      <c r="P3" s="13"/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"),"")</f>
        <v/>
      </c>
      <c r="R3" s="13" t="str">
        <f t="shared" si="1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ref="P4:P8" si="2">IF(O4="YES",
"https://wa.me/?text=" &amp;
ENCODEURL(
IF(OR(L4="Pending",L4="In Progress"),
"⚠ *SERVICE ALERT – ATTENTION REQUIRED*" &amp; CHAR(10) &amp; CHAR(10),
"📢 *SERVICE STATUS UPDATE*" &amp; CHAR(10) &amp; CHAR(10)
) &amp;
"Service ID: " &amp; A4 &amp; CHAR(10) &amp;
"Customer: " &amp; B4 &amp; CHAR(10) &amp;
"Mobile: " &amp; C4 &amp; CHAR(10) &amp;
"Brand: " &amp; D4 &amp; CHAR(10) &amp;
"Problem: " &amp; F4 &amp; CHAR(10) &amp; CHAR(10) &amp;
"Received Date: " &amp; TEXT(G4,"dd-mmm-yyyy") &amp; CHAR(10) &amp;
"Expected Delivery Date: " &amp; TEXT(H4,"dd-mmm-yyyy") &amp; CHAR(10) &amp;
"Current Status: *" &amp; L4 &amp; "*" &amp; CHAR(10) &amp; CHAR(10) &amp;
IF(OR(L4="Pending",L4="In Progress"),
"⚠ Please follow up immediately.",
"✅ Service update for information."
) &amp; CHAR(10) &amp; CHAR(10) &amp;
"Balance Amount: ₹" &amp; K4 &amp; CHAR(10) &amp; CHAR(10) &amp;
"— SMART TIMES SERVICE"
),
"")
</f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"),"None")</f>
        <v>None</v>
      </c>
    </row>
    <row r="5" ht="21.75" customHeight="1">
      <c r="A5" s="7"/>
      <c r="B5" s="7"/>
      <c r="C5" s="7"/>
      <c r="D5" s="7"/>
      <c r="E5" s="7"/>
      <c r="F5" s="7"/>
      <c r="G5" s="8"/>
      <c r="H5" s="8"/>
      <c r="I5" s="7"/>
      <c r="J5" s="9"/>
      <c r="K5" s="7"/>
      <c r="L5" s="7"/>
      <c r="M5" s="15"/>
      <c r="N5" s="9"/>
      <c r="O5" s="11" t="s">
        <v>22</v>
      </c>
      <c r="P5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3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/>
      <c r="B6" s="7"/>
      <c r="C6" s="7"/>
      <c r="D6" s="7"/>
      <c r="E6" s="7"/>
      <c r="F6" s="7"/>
      <c r="G6" s="8"/>
      <c r="H6" s="8"/>
      <c r="I6" s="7"/>
      <c r="J6" s="9"/>
      <c r="K6" s="7"/>
      <c r="L6" s="7"/>
      <c r="M6" s="15"/>
      <c r="N6" s="9"/>
      <c r="O6" s="11" t="s">
        <v>22</v>
      </c>
      <c r="P6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3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/>
      <c r="B7" s="7"/>
      <c r="C7" s="7"/>
      <c r="D7" s="7"/>
      <c r="E7" s="7"/>
      <c r="F7" s="7"/>
      <c r="G7" s="8"/>
      <c r="H7" s="8"/>
      <c r="I7" s="7"/>
      <c r="J7" s="9"/>
      <c r="K7" s="7"/>
      <c r="L7" s="7"/>
      <c r="M7" s="10"/>
      <c r="N7" s="9"/>
      <c r="O7" s="11" t="s">
        <v>22</v>
      </c>
      <c r="P7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3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https://wa.me/?text=%F0%9F%93%8A%20SERVICE%20STATUS%20SUMMARY%0A%0A%F0%9F%94%B4%20OVERDUE%0ANone%0A%0A%F0%9F%9F%A0%20DUE%20TODAY%0ANone%0A%0A%F0%9F%94%B5%20REMAINING%0ANone%0A%0A%E2%80%94%20SMART%20TIMES%20SERVICE</v>
      </c>
    </row>
    <row r="8">
      <c r="A8" s="9"/>
      <c r="B8" s="7"/>
      <c r="C8" s="7"/>
      <c r="D8" s="7"/>
      <c r="E8" s="7"/>
      <c r="F8" s="7"/>
      <c r="G8" s="8"/>
      <c r="H8" s="17"/>
      <c r="I8" s="9"/>
      <c r="J8" s="9"/>
      <c r="K8" s="7"/>
      <c r="L8" s="7"/>
      <c r="M8" s="10"/>
      <c r="N8" s="9"/>
      <c r="O8" s="11"/>
      <c r="P8" s="13" t="str">
        <f t="shared" si="2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3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 t="str">
        <f>IFERROR(__xludf.DUMMYFUNCTION("IF(REGEXMATCH(LOWER(L9),""ready""),
""https://wa.me/91""&amp;C9&amp;""?text="" &amp;
ENCODEURL(
""📢 *SERVICE READY – READY FOR COLLECTION*"" &amp; CHAR(10) &amp; CHAR(10) &amp;
""📌 *English*"" &amp; CHAR(10) &amp;
""Dear "" &amp; B9 &amp; "","" &amp; CHAR(10) &amp;
""Your watch service is completed"&amp;" and ready for collection."" &amp; CHAR(10) &amp;
""Brand: "" &amp; D9 &amp; CHAR(10) &amp;
""Problem: "" &amp; F9 &amp; CHAR(10) &amp;
""Received Date: "" &amp; TEXT(G9,""dd-mmm-yyyy"") &amp; CHAR(10) &amp;
""Ready Date: "" &amp; TEXT(H9,""dd-mmm-yyyy"") &amp; CHAR(10) &amp;
""Balance Amount: ₹"" &amp; K9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D9 &amp; CHAR(10) &amp;
""பெறப்பட்ட தேதி: "" &amp; TEXT(G9,""dd-mmm-yyyy"") &amp; CHAR(10) &amp;
""தயார் தேதி: "" &amp; TEXT(H9,""dd-mmm-yyyy"") &amp; CHAR(10) &amp;
""மீதத் தொகை: ₹"" &amp; K9 &amp; CHAR(10) &amp; CHAR(10) &amp;
""🗺 *Google Map:* https://maps.app.goo.gl/DpPkfna7HQttx"&amp;"YXn9"" &amp; CHAR(10) &amp; CHAR(10) &amp;
""🙏 SMART TIMES SERVICE""
),
"""")
"),"")</f>
        <v/>
      </c>
      <c r="R9" s="13"/>
    </row>
    <row r="10">
      <c r="A10" s="7"/>
      <c r="B10" s="7"/>
      <c r="C10" s="7"/>
      <c r="D10" s="7"/>
      <c r="E10" s="7"/>
      <c r="F10" s="7"/>
      <c r="G10" s="17"/>
      <c r="H10" s="17"/>
      <c r="I10" s="9"/>
      <c r="J10" s="9"/>
      <c r="K10" s="7"/>
      <c r="L10" s="7"/>
      <c r="M10" s="15"/>
      <c r="N10" s="9"/>
      <c r="O10" s="11" t="s">
        <v>22</v>
      </c>
      <c r="P10" s="12" t="str">
        <f t="shared" ref="P10:P16" si="4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"),"")</f>
        <v/>
      </c>
      <c r="R10" s="13" t="str">
        <f t="shared" ref="R10:R16" si="5">HYPERLINK(Q10,"🟢 SEND WHATSAPP")</f>
        <v>🟢 SEND WHATSAPP</v>
      </c>
    </row>
    <row r="11">
      <c r="A11" s="9"/>
      <c r="B11" s="7"/>
      <c r="C11" s="7"/>
      <c r="D11" s="7"/>
      <c r="E11" s="7"/>
      <c r="F11" s="7"/>
      <c r="G11" s="17"/>
      <c r="H11" s="17"/>
      <c r="I11" s="9"/>
      <c r="J11" s="9"/>
      <c r="K11" s="7"/>
      <c r="L11" s="7"/>
      <c r="M11" s="10"/>
      <c r="N11" s="18"/>
      <c r="O11" s="11" t="s">
        <v>22</v>
      </c>
      <c r="P11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5"/>
        <v>🟢 SEND WHATSAPP</v>
      </c>
    </row>
    <row r="12">
      <c r="A12" s="9"/>
      <c r="B12" s="7"/>
      <c r="C12" s="7"/>
      <c r="D12" s="7"/>
      <c r="E12" s="7"/>
      <c r="F12" s="7"/>
      <c r="G12" s="17"/>
      <c r="H12" s="17"/>
      <c r="I12" s="7"/>
      <c r="J12" s="9"/>
      <c r="K12" s="7"/>
      <c r="L12" s="7"/>
      <c r="M12" s="10"/>
      <c r="N12" s="9"/>
      <c r="O12" s="11" t="s">
        <v>22</v>
      </c>
      <c r="P12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5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4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5"/>
        <v>🟢 SEND WHATSAPP</v>
      </c>
    </row>
    <row r="14">
      <c r="A14" s="7"/>
      <c r="B14" s="7"/>
      <c r="C14" s="7"/>
      <c r="D14" s="7"/>
      <c r="E14" s="7"/>
      <c r="F14" s="7"/>
      <c r="G14" s="17"/>
      <c r="H14" s="17"/>
      <c r="I14" s="9"/>
      <c r="J14" s="9"/>
      <c r="K14" s="7"/>
      <c r="L14" s="7"/>
      <c r="M14" s="15"/>
      <c r="N14" s="9"/>
      <c r="O14" s="11" t="s">
        <v>22</v>
      </c>
      <c r="P14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5"/>
        <v>🟢 SEND WHATSAPP</v>
      </c>
      <c r="S14" s="14" t="str">
        <f t="shared" ref="S14:S15" si="6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/>
      <c r="B15" s="7"/>
      <c r="C15" s="7"/>
      <c r="D15" s="7"/>
      <c r="E15" s="7"/>
      <c r="F15" s="7"/>
      <c r="G15" s="17"/>
      <c r="H15" s="17"/>
      <c r="I15" s="9"/>
      <c r="J15" s="9"/>
      <c r="K15" s="7"/>
      <c r="L15" s="7"/>
      <c r="M15" s="15"/>
      <c r="N15" s="9"/>
      <c r="O15" s="11" t="s">
        <v>22</v>
      </c>
      <c r="P15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5"/>
        <v>🟢 SEND WHATSAPP</v>
      </c>
      <c r="S15" s="14" t="str">
        <f t="shared" si="6"/>
        <v/>
      </c>
    </row>
    <row r="16">
      <c r="A16" s="9"/>
      <c r="B16" s="7"/>
      <c r="C16" s="7"/>
      <c r="D16" s="7"/>
      <c r="E16" s="7"/>
      <c r="F16" s="7"/>
      <c r="G16" s="17"/>
      <c r="H16" s="17"/>
      <c r="I16" s="7"/>
      <c r="J16" s="9"/>
      <c r="K16" s="7"/>
      <c r="L16" s="7"/>
      <c r="M16" s="15"/>
      <c r="N16" s="9"/>
      <c r="O16" s="11" t="s">
        <v>22</v>
      </c>
      <c r="P16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"),"")</f>
        <v/>
      </c>
      <c r="R16" s="13" t="str">
        <f t="shared" si="5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/>
      <c r="B18" s="7"/>
      <c r="C18" s="7"/>
      <c r="D18" s="7"/>
      <c r="E18" s="7"/>
      <c r="F18" s="7"/>
      <c r="G18" s="17"/>
      <c r="H18" s="7"/>
      <c r="I18" s="7"/>
      <c r="J18" s="9"/>
      <c r="K18" s="7"/>
      <c r="L18" s="7"/>
      <c r="M18" s="10"/>
      <c r="N18" s="9"/>
      <c r="O18" s="11" t="s">
        <v>22</v>
      </c>
      <c r="P18" s="12" t="str">
        <f t="shared" ref="P18:P21" si="7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8">HYPERLINK(Q18,"🟢 SEND WHATSAPP")</f>
        <v>🟢 SEND WHATSAPP</v>
      </c>
      <c r="S18" s="14" t="str">
        <f t="shared" ref="S18:S21" si="9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/>
      <c r="B19" s="7"/>
      <c r="C19" s="7"/>
      <c r="D19" s="7"/>
      <c r="E19" s="7"/>
      <c r="F19" s="7"/>
      <c r="G19" s="17"/>
      <c r="H19" s="17"/>
      <c r="I19" s="9"/>
      <c r="J19" s="9"/>
      <c r="K19" s="7"/>
      <c r="L19" s="7"/>
      <c r="M19" s="15"/>
      <c r="N19" s="18"/>
      <c r="O19" s="11" t="s">
        <v>22</v>
      </c>
      <c r="P19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"),"")</f>
        <v/>
      </c>
      <c r="R19" s="13" t="str">
        <f t="shared" si="8"/>
        <v>🟢 SEND WHATSAPP</v>
      </c>
      <c r="S19" s="14" t="str">
        <f t="shared" si="9"/>
        <v/>
      </c>
    </row>
    <row r="20">
      <c r="A20" s="9"/>
      <c r="B20" s="7"/>
      <c r="C20" s="7"/>
      <c r="D20" s="7"/>
      <c r="E20" s="7"/>
      <c r="F20" s="7"/>
      <c r="G20" s="17"/>
      <c r="H20" s="17"/>
      <c r="I20" s="7"/>
      <c r="J20" s="9"/>
      <c r="K20" s="7"/>
      <c r="L20" s="7"/>
      <c r="M20" s="15"/>
      <c r="N20" s="19"/>
      <c r="O20" s="11" t="s">
        <v>22</v>
      </c>
      <c r="P20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8"/>
        <v>🟢 SEND WHATSAPP</v>
      </c>
      <c r="S20" s="14" t="str">
        <f t="shared" si="9"/>
        <v/>
      </c>
    </row>
    <row r="21">
      <c r="A21" s="9"/>
      <c r="B21" s="7"/>
      <c r="C21" s="7"/>
      <c r="D21" s="7"/>
      <c r="E21" s="7"/>
      <c r="F21" s="7"/>
      <c r="G21" s="17"/>
      <c r="H21" s="17"/>
      <c r="I21" s="9"/>
      <c r="J21" s="9"/>
      <c r="K21" s="7"/>
      <c r="L21" s="7"/>
      <c r="M21" s="15"/>
      <c r="N21" s="9"/>
      <c r="O21" s="11" t="s">
        <v>22</v>
      </c>
      <c r="P21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8"/>
        <v>🟢 SEND WHATSAPP</v>
      </c>
      <c r="S21" s="14" t="str">
        <f t="shared" si="9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8"/>
        <v>🟢 SEND WHATSAPP</v>
      </c>
    </row>
    <row r="23">
      <c r="A23" s="9"/>
      <c r="B23" s="7"/>
      <c r="C23" s="7"/>
      <c r="D23" s="7"/>
      <c r="E23" s="7"/>
      <c r="F23" s="7"/>
      <c r="G23" s="17"/>
      <c r="H23" s="17"/>
      <c r="I23" s="7"/>
      <c r="J23" s="9"/>
      <c r="K23" s="7"/>
      <c r="L23" s="7"/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"),"")</f>
        <v/>
      </c>
      <c r="R23" s="13" t="str">
        <f t="shared" si="8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8"/>
        <v>🟢 SEND WHATSAPP</v>
      </c>
    </row>
    <row r="25">
      <c r="A25" s="9"/>
      <c r="B25" s="7"/>
      <c r="C25" s="7"/>
      <c r="D25" s="7"/>
      <c r="E25" s="7"/>
      <c r="F25" s="7"/>
      <c r="G25" s="17"/>
      <c r="H25" s="17"/>
      <c r="I25" s="9"/>
      <c r="J25" s="9"/>
      <c r="K25" s="7"/>
      <c r="L25" s="7"/>
      <c r="M25" s="15"/>
      <c r="N25" s="9"/>
      <c r="O25" s="11" t="s">
        <v>22</v>
      </c>
      <c r="P25" s="12" t="str">
        <f t="shared" ref="P25:P29" si="10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8"/>
        <v>🟢 SEND WHATSAPP</v>
      </c>
    </row>
    <row r="26">
      <c r="A26" s="9"/>
      <c r="B26" s="7"/>
      <c r="C26" s="7"/>
      <c r="D26" s="7"/>
      <c r="E26" s="7"/>
      <c r="F26" s="7"/>
      <c r="G26" s="17"/>
      <c r="H26" s="17"/>
      <c r="I26" s="7"/>
      <c r="J26" s="9"/>
      <c r="K26" s="7"/>
      <c r="L26" s="7"/>
      <c r="M26" s="15"/>
      <c r="N26" s="9"/>
      <c r="O26" s="11" t="s">
        <v>22</v>
      </c>
      <c r="P26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"),"")</f>
        <v/>
      </c>
      <c r="R26" s="13" t="str">
        <f t="shared" si="8"/>
        <v>🟢 SEND WHATSAPP</v>
      </c>
    </row>
    <row r="27">
      <c r="A27" s="9"/>
      <c r="B27" s="7"/>
      <c r="C27" s="7"/>
      <c r="D27" s="7"/>
      <c r="E27" s="7"/>
      <c r="F27" s="7"/>
      <c r="G27" s="17"/>
      <c r="H27" s="17"/>
      <c r="I27" s="7"/>
      <c r="J27" s="9"/>
      <c r="K27" s="7"/>
      <c r="L27" s="7"/>
      <c r="M27" s="10"/>
      <c r="N27" s="9"/>
      <c r="O27" s="11" t="s">
        <v>22</v>
      </c>
      <c r="P27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8"/>
        <v>🟢 SEND WHATSAPP</v>
      </c>
    </row>
    <row r="28">
      <c r="A28" s="9"/>
      <c r="B28" s="7"/>
      <c r="C28" s="7"/>
      <c r="D28" s="7"/>
      <c r="E28" s="7"/>
      <c r="F28" s="7"/>
      <c r="G28" s="17"/>
      <c r="H28" s="17"/>
      <c r="I28" s="9"/>
      <c r="J28" s="9"/>
      <c r="K28" s="7"/>
      <c r="L28" s="7"/>
      <c r="M28" s="15"/>
      <c r="N28" s="9"/>
      <c r="O28" s="11" t="s">
        <v>22</v>
      </c>
      <c r="P28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8"/>
        <v>🟢 SEND WHATSAPP</v>
      </c>
    </row>
    <row r="29">
      <c r="A29" s="9"/>
      <c r="B29" s="7"/>
      <c r="C29" s="7"/>
      <c r="D29" s="7"/>
      <c r="E29" s="7"/>
      <c r="F29" s="7"/>
      <c r="G29" s="17"/>
      <c r="H29" s="17"/>
      <c r="I29" s="7"/>
      <c r="J29" s="9"/>
      <c r="K29" s="7"/>
      <c r="L29" s="7"/>
      <c r="M29" s="15"/>
      <c r="N29" s="9"/>
      <c r="O29" s="11" t="s">
        <v>22</v>
      </c>
      <c r="P29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"),"")</f>
        <v/>
      </c>
      <c r="R29" s="13" t="str">
        <f t="shared" si="8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/>
      <c r="B31" s="7"/>
      <c r="C31" s="7"/>
      <c r="D31" s="7"/>
      <c r="E31" s="7"/>
      <c r="F31" s="7"/>
      <c r="G31" s="17"/>
      <c r="H31" s="17"/>
      <c r="I31" s="7"/>
      <c r="J31" s="9"/>
      <c r="K31" s="7"/>
      <c r="L31" s="7"/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/>
      <c r="B33" s="7"/>
      <c r="C33" s="7"/>
      <c r="D33" s="7"/>
      <c r="E33" s="7"/>
      <c r="F33" s="7"/>
      <c r="G33" s="17"/>
      <c r="H33" s="17"/>
      <c r="I33" s="9"/>
      <c r="J33" s="9"/>
      <c r="K33" s="7"/>
      <c r="L33" s="7"/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/>
      <c r="B34" s="7"/>
      <c r="C34" s="7"/>
      <c r="D34" s="7"/>
      <c r="E34" s="7"/>
      <c r="F34" s="7"/>
      <c r="G34" s="17"/>
      <c r="H34" s="17"/>
      <c r="I34" s="9"/>
      <c r="J34" s="9"/>
      <c r="K34" s="7"/>
      <c r="L34" s="7"/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/>
      <c r="B36" s="7"/>
      <c r="C36" s="7"/>
      <c r="D36" s="7"/>
      <c r="E36" s="7"/>
      <c r="F36" s="9"/>
      <c r="G36" s="17"/>
      <c r="H36" s="17"/>
      <c r="I36" s="9"/>
      <c r="J36" s="9"/>
      <c r="K36" s="7"/>
      <c r="L36" s="7"/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/>
      <c r="B38" s="7"/>
      <c r="C38" s="7"/>
      <c r="D38" s="7"/>
      <c r="E38" s="7"/>
      <c r="F38" s="7"/>
      <c r="G38" s="17"/>
      <c r="H38" s="17"/>
      <c r="I38" s="9"/>
      <c r="J38" s="9"/>
      <c r="K38" s="7"/>
      <c r="L38" s="7"/>
      <c r="M38" s="15"/>
      <c r="N38" s="9"/>
      <c r="O38" s="11" t="s">
        <v>22</v>
      </c>
      <c r="P38" s="12" t="str">
        <f t="shared" ref="P38:P39" si="1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12">HYPERLINK(Q38,"🟢 SEND WHATSAPP")</f>
        <v>🟢 SEND WHATSAPP</v>
      </c>
    </row>
    <row r="39">
      <c r="A39" s="9"/>
      <c r="B39" s="7"/>
      <c r="C39" s="7"/>
      <c r="D39" s="7"/>
      <c r="E39" s="7"/>
      <c r="F39" s="7"/>
      <c r="G39" s="17"/>
      <c r="H39" s="17"/>
      <c r="I39" s="9"/>
      <c r="J39" s="9"/>
      <c r="K39" s="7"/>
      <c r="L39" s="7"/>
      <c r="M39" s="15"/>
      <c r="N39" s="9"/>
      <c r="O39" s="11" t="s">
        <v>22</v>
      </c>
      <c r="P39" s="12" t="str">
        <f t="shared" si="11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1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/>
      <c r="B41" s="7"/>
      <c r="C41" s="7"/>
      <c r="D41" s="7"/>
      <c r="E41" s="7"/>
      <c r="F41" s="7"/>
      <c r="G41" s="17"/>
      <c r="H41" s="17"/>
      <c r="I41" s="9"/>
      <c r="J41" s="9"/>
      <c r="K41" s="9"/>
      <c r="L41" s="7"/>
      <c r="M41" s="15"/>
      <c r="N41" s="9"/>
      <c r="O41" s="11"/>
      <c r="P41" s="13"/>
      <c r="Q41" s="13"/>
      <c r="R41" s="13"/>
    </row>
    <row r="42">
      <c r="A42" s="9"/>
      <c r="B42" s="7"/>
      <c r="C42" s="7"/>
      <c r="D42" s="7"/>
      <c r="E42" s="7"/>
      <c r="F42" s="7"/>
      <c r="G42" s="17"/>
      <c r="H42" s="17"/>
      <c r="I42" s="9"/>
      <c r="J42" s="9"/>
      <c r="K42" s="9"/>
      <c r="L42" s="7"/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/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1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1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1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1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1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1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dataValidations>
    <dataValidation type="list" allowBlank="1" showErrorMessage="1" sqref="D2: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5.25"/>
    <col customWidth="1" min="4" max="4" width="16.38"/>
    <col customWidth="1" min="5" max="5" width="15.38"/>
    <col customWidth="1" min="6" max="6" width="24.13"/>
    <col customWidth="1" min="7" max="7" width="13.75"/>
    <col customWidth="1" min="8" max="8" width="21.88"/>
    <col customWidth="1" min="9" max="9" width="17.13"/>
    <col customWidth="1" min="10" max="10" width="16.0"/>
    <col customWidth="1" min="11" max="11" width="18.75"/>
    <col customWidth="1" min="12" max="12" width="16.0"/>
    <col customWidth="1" min="13" max="13" width="14.38"/>
    <col hidden="1" min="15" max="15" width="12.63"/>
    <col customWidth="1" hidden="1" min="16" max="16" width="24.63"/>
    <col customWidth="1" min="17" max="17" width="26.38"/>
    <col customWidth="1" min="18" max="18" width="27.5"/>
    <col customWidth="1" min="19" max="19" width="257.75"/>
    <col customWidth="1" min="25" max="2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/>
      <c r="S1" s="5">
        <f>IFERROR(__xludf.DUMMYFUNCTION("SUM(ARRAYFORMULA(
REGEXMATCH(LOWER(L2:L506),""pending|in progress"")*
(H2:H506&lt;TODAY())*1
))
"),0.0)</f>
        <v>0</v>
      </c>
      <c r="T1" s="6"/>
      <c r="U1" s="6"/>
      <c r="V1" s="6"/>
      <c r="W1" s="6"/>
      <c r="X1" s="6"/>
      <c r="Y1" s="6"/>
    </row>
    <row r="2" ht="18.0" customHeight="1">
      <c r="A2" s="7"/>
      <c r="B2" s="7"/>
      <c r="C2" s="7"/>
      <c r="D2" s="7"/>
      <c r="E2" s="7"/>
      <c r="F2" s="7"/>
      <c r="G2" s="8"/>
      <c r="H2" s="8"/>
      <c r="I2" s="7"/>
      <c r="J2" s="9"/>
      <c r="K2" s="9"/>
      <c r="L2" s="7"/>
      <c r="M2" s="10"/>
      <c r="N2" s="9"/>
      <c r="O2" s="11"/>
      <c r="P2" s="13"/>
      <c r="Q2" s="13"/>
      <c r="R2" s="13" t="str">
        <f t="shared" ref="R2:R3" si="1">HYPERLINK(Q2,"🟢 SEND WHATSAPP")</f>
        <v>🟢 SEND WHATSAPP</v>
      </c>
      <c r="S2" s="14" t="str">
        <f>IFERROR(__xludf.DUMMYFUNCTION("TEXTJOIN(CHAR(10),TRUE,
FILTER(
A2:A506 &amp; "" | Rec: "" &amp; TEXT(G2:G506,""dd-mmm"") &amp;
"" | Exp: "" &amp; TEXT(H2:H506,""dd-mmm""),
(REGEXMATCH(LOWER(L2:L506),""pending|in progress""))*
(H2:H506&lt;TODAY())
)
)
"),"#N/A")</f>
        <v>#N/A</v>
      </c>
    </row>
    <row r="3">
      <c r="A3" s="9"/>
      <c r="B3" s="7"/>
      <c r="C3" s="7"/>
      <c r="D3" s="7"/>
      <c r="E3" s="7"/>
      <c r="F3" s="7"/>
      <c r="G3" s="8"/>
      <c r="H3" s="8"/>
      <c r="I3" s="7"/>
      <c r="J3" s="7"/>
      <c r="K3" s="7"/>
      <c r="L3" s="7"/>
      <c r="M3" s="10"/>
      <c r="N3" s="9"/>
      <c r="O3" s="11"/>
      <c r="P3" s="13"/>
      <c r="Q3" s="13" t="str">
        <f>IFERROR(__xludf.DUMMYFUNCTION("IF(REGEXMATCH(LOWER(L3),""ready""),
""https://wa.me/91""&amp;C3&amp;""?text="" &amp;
ENCODEURL(
""📢 *SERVICE READY – READY FOR COLLECTION*"" &amp; CHAR(10) &amp; CHAR(10) &amp;
""📌 *English*"" &amp; CHAR(10) &amp;
""Dear "" &amp; B3 &amp; "","" &amp; CHAR(10) &amp;
""Your watch service is completed"&amp;" and ready for collection."" &amp; CHAR(10) &amp;
""Brand: "" &amp; D3 &amp; CHAR(10) &amp;
""Problem: "" &amp; F3 &amp; CHAR(10) &amp;
""Received Date: "" &amp; TEXT(G3,""dd-mmm-yyyy"") &amp; CHAR(10) &amp;
""Ready Date: "" &amp; TEXT(H3,""dd-mmm-yyyy"") &amp; CHAR(10) &amp;
""Balance Amount: ₹"" &amp; K3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D3 &amp; CHAR(10) &amp;
""பெறப்பட்ட தேதி: "" &amp; TEXT(G3,""dd-mmm-yyyy"") &amp; CHAR(10) &amp;
""தயார் தேதி: "" &amp; TEXT(H3,""dd-mmm-yyyy"") &amp; CHAR(10) &amp;
""மீதத் தொகை: ₹"" &amp; K3 &amp; CHAR(10) &amp; CHAR(10) &amp;
""🗺 *Google Map:* https://maps.app.goo.gl/DpPkfna7HQttx"&amp;"YXn9"" &amp; CHAR(10) &amp; CHAR(10) &amp;
""🙏 SMART TIMES SERVICE""
),
"""")
"),"")</f>
        <v/>
      </c>
      <c r="R3" s="13" t="str">
        <f t="shared" si="1"/>
        <v>🟢 SEND WHATSAPP</v>
      </c>
      <c r="S3" s="14">
        <f>IFERROR(__xludf.DUMMYFUNCTION("SUM(ARRAYFORMULA(
REGEXMATCH(LOWER(L2:L506),""pending|in progress"")*
(H2:H506&gt;TODAY())*1
))
"),0.0)</f>
        <v>0</v>
      </c>
    </row>
    <row r="4" ht="18.75" customHeight="1">
      <c r="A4" s="9"/>
      <c r="B4" s="9"/>
      <c r="C4" s="9"/>
      <c r="D4" s="7"/>
      <c r="E4" s="9"/>
      <c r="F4" s="9"/>
      <c r="G4" s="8"/>
      <c r="H4" s="9"/>
      <c r="I4" s="9"/>
      <c r="J4" s="9"/>
      <c r="K4" s="9"/>
      <c r="L4" s="7"/>
      <c r="M4" s="15"/>
      <c r="N4" s="9"/>
      <c r="O4" s="11"/>
      <c r="P4" s="13" t="str">
        <f t="shared" ref="P4:P8" si="2">IF(O4="YES",
"https://wa.me/?text=" &amp;
ENCODEURL(
IF(OR(L4="Pending",L4="In Progress"),
"⚠ *SERVICE ALERT – ATTENTION REQUIRED*" &amp; CHAR(10) &amp; CHAR(10),
"📢 *SERVICE STATUS UPDATE*" &amp; CHAR(10) &amp; CHAR(10)
) &amp;
"Service ID: " &amp; A4 &amp; CHAR(10) &amp;
"Customer: " &amp; B4 &amp; CHAR(10) &amp;
"Mobile: " &amp; C4 &amp; CHAR(10) &amp;
"Brand: " &amp; D4 &amp; CHAR(10) &amp;
"Problem: " &amp; F4 &amp; CHAR(10) &amp; CHAR(10) &amp;
"Received Date: " &amp; TEXT(G4,"dd-mmm-yyyy") &amp; CHAR(10) &amp;
"Expected Delivery Date: " &amp; TEXT(H4,"dd-mmm-yyyy") &amp; CHAR(10) &amp;
"Current Status: *" &amp; L4 &amp; "*" &amp; CHAR(10) &amp; CHAR(10) &amp;
IF(OR(L4="Pending",L4="In Progress"),
"⚠ Please follow up immediately.",
"✅ Service update for information."
) &amp; CHAR(10) &amp; CHAR(10) &amp;
"Balance Amount: ₹" &amp; K4 &amp; CHAR(10) &amp; CHAR(10) &amp;
"— SMART TIMES SERVICE"
),
"")
</f>
        <v/>
      </c>
      <c r="Q4" s="13" t="str">
        <f>IFERROR(__xludf.DUMMYFUNCTION("IF(REGEXMATCH(LOWER(L4),""ready""),
""https://wa.me/91""&amp;C4&amp;""?text="" &amp;
ENCODEURL(
""📢 *SERVICE READY – READY FOR COLLECTION*"" &amp; CHAR(10) &amp; CHAR(10) &amp;
""📌 *English*"" &amp; CHAR(10) &amp;
""Dear "" &amp; B4 &amp; "","" &amp; CHAR(10) &amp;
""Your watch service is completed"&amp;" and ready for collection."" &amp; CHAR(10) &amp;
""Brand: "" &amp; D4 &amp; CHAR(10) &amp;
""Problem: "" &amp; F4 &amp; CHAR(10) &amp;
""Received Date: "" &amp; TEXT(G4,""dd-mmm-yyyy"") &amp; CHAR(10) &amp;
""Ready Date: "" &amp; TEXT(H4,""dd-mmm-yyyy"") &amp; CHAR(10) &amp;
""Balance Amount: ₹"" &amp; K4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D4 &amp; CHAR(10) &amp;
""பெறப்பட்ட தேதி: "" &amp; TEXT(G4,""dd-mmm-yyyy"") &amp; CHAR(10) &amp;
""தயார் தேதி: "" &amp; TEXT(H4,""dd-mmm-yyyy"") &amp; CHAR(10) &amp;
""மீதத் தொகை: ₹"" &amp; K4 &amp; CHAR(10) &amp; CHAR(10) &amp;
""🗺 *Google Map:* https://maps.app.goo.gl/DpPkfna7HQttx"&amp;"YXn9"" &amp; CHAR(10) &amp; CHAR(10) &amp;
""🙏 SMART TIMES SERVICE""
),
"""")
"),"")</f>
        <v/>
      </c>
      <c r="R4" s="13"/>
      <c r="S4" s="14" t="str">
        <f>IFERROR(__xludf.DUMMYFUNCTION("IFERROR(
TEXTJOIN(CHAR(10),TRUE,
FILTER(
""🔴 ""&amp;A2:A1011 &amp;"" | Rec: ""&amp;TEXT(G2:G1011,""dd-mmm"")&amp;
"" | Exp: ""&amp;TEXT(H2:H1011,""dd-mmm""),
(REGEXMATCH(LOWER(L2:L1011),""pending|in progress""))*
(H2:H1011&lt;TODAY())
)
),
""None""
)
"),"None")</f>
        <v>None</v>
      </c>
    </row>
    <row r="5" ht="21.75" customHeight="1">
      <c r="A5" s="7"/>
      <c r="B5" s="7"/>
      <c r="C5" s="7"/>
      <c r="D5" s="7"/>
      <c r="E5" s="7"/>
      <c r="F5" s="7"/>
      <c r="G5" s="8"/>
      <c r="H5" s="8"/>
      <c r="I5" s="7"/>
      <c r="J5" s="9"/>
      <c r="K5" s="7"/>
      <c r="L5" s="7"/>
      <c r="M5" s="15"/>
      <c r="N5" s="9"/>
      <c r="O5" s="11" t="s">
        <v>22</v>
      </c>
      <c r="P5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5" s="13" t="str">
        <f>IFERROR(__xludf.DUMMYFUNCTION("IF(REGEXMATCH(LOWER(L5),""ready""),
""https://wa.me/91""&amp;C5&amp;""?text="" &amp;
ENCODEURL(
""📢 *SERVICE READY – READY FOR COLLECTION*"" &amp; CHAR(10) &amp; CHAR(10) &amp;
""📌 *English*"" &amp; CHAR(10) &amp;
""Dear "" &amp; B5 &amp; "","" &amp; CHAR(10) &amp;
""Your watch service is completed"&amp;" and ready for collection."" &amp; CHAR(10) &amp;
""Brand: "" &amp; D5 &amp; CHAR(10) &amp;
""Problem: "" &amp; F5 &amp; CHAR(10) &amp;
""Received Date: "" &amp; TEXT(G5,""dd-mmm-yyyy"") &amp; CHAR(10) &amp;
""Ready Date: "" &amp; TEXT(H5,""dd-mmm-yyyy"") &amp; CHAR(10) &amp;
""Balance Amount: ₹"" &amp; K5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D5 &amp; CHAR(10) &amp;
""பெறப்பட்ட தேதி: "" &amp; TEXT(G5,""dd-mmm-yyyy"") &amp; CHAR(10) &amp;
""தயார் தேதி: "" &amp; TEXT(H5,""dd-mmm-yyyy"") &amp; CHAR(10) &amp;
""மீதத் தொகை: ₹"" &amp; K5 &amp; CHAR(10) &amp; CHAR(10) &amp;
""🗺 *Google Map:* https://maps.app.goo.gl/DpPkfna7HQttx"&amp;"YXn9"" &amp; CHAR(10) &amp; CHAR(10) &amp;
""🙏 SMART TIMES SERVICE""
),
"""")
"),"")</f>
        <v/>
      </c>
      <c r="R5" s="13" t="str">
        <f t="shared" ref="R5:R8" si="3">HYPERLINK(Q5,"🟢 SEND WHATSAPP")</f>
        <v>🟢 SEND WHATSAPP</v>
      </c>
      <c r="S5" s="14" t="str">
        <f>IFERROR(__xludf.DUMMYFUNCTION("IFERROR(
TEXTJOIN(CHAR(10),TRUE,
FILTER(
""🟠 ""&amp;A2:A1011 &amp;"" | Rec: ""&amp;TEXT(G2:G1011,""dd-mmm"")&amp;
"" | Exp: ""&amp;TEXT(H2:H1011,""dd-mmm""),
(REGEXMATCH(LOWER(L2:L1011),""pending|in progress""))*
(H2:H1011=TODAY())
)
),
""None""
)
"),"None")</f>
        <v>None</v>
      </c>
    </row>
    <row r="6" ht="18.0" customHeight="1">
      <c r="A6" s="7"/>
      <c r="B6" s="7"/>
      <c r="C6" s="7"/>
      <c r="D6" s="7"/>
      <c r="E6" s="7"/>
      <c r="F6" s="7"/>
      <c r="G6" s="8"/>
      <c r="H6" s="8"/>
      <c r="I6" s="7"/>
      <c r="J6" s="9"/>
      <c r="K6" s="7"/>
      <c r="L6" s="7"/>
      <c r="M6" s="15"/>
      <c r="N6" s="9"/>
      <c r="O6" s="11" t="s">
        <v>22</v>
      </c>
      <c r="P6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6" s="13" t="str">
        <f>IFERROR(__xludf.DUMMYFUNCTION("IF(REGEXMATCH(LOWER(L6),""ready""),
""https://wa.me/91""&amp;C6&amp;""?text="" &amp;
ENCODEURL(
""📢 *SERVICE READY – READY FOR COLLECTION*"" &amp; CHAR(10) &amp; CHAR(10) &amp;
""📌 *English*"" &amp; CHAR(10) &amp;
""Dear "" &amp; B6 &amp; "","" &amp; CHAR(10) &amp;
""Your watch service is completed"&amp;" and ready for collection."" &amp; CHAR(10) &amp;
""Brand: "" &amp; D6 &amp; CHAR(10) &amp;
""Problem: "" &amp; F6 &amp; CHAR(10) &amp;
""Received Date: "" &amp; TEXT(G6,""dd-mmm-yyyy"") &amp; CHAR(10) &amp;
""Ready Date: "" &amp; TEXT(H6,""dd-mmm-yyyy"") &amp; CHAR(10) &amp;
""Balance Amount: ₹"" &amp; K6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D6 &amp; CHAR(10) &amp;
""பெறப்பட்ட தேதி: "" &amp; TEXT(G6,""dd-mmm-yyyy"") &amp; CHAR(10) &amp;
""தயார் தேதி: "" &amp; TEXT(H6,""dd-mmm-yyyy"") &amp; CHAR(10) &amp;
""மீதத் தொகை: ₹"" &amp; K6 &amp; CHAR(10) &amp; CHAR(10) &amp;
""🗺 *Google Map:* https://maps.app.goo.gl/DpPkfna7HQttx"&amp;"YXn9"" &amp; CHAR(10) &amp; CHAR(10) &amp;
""🙏 SMART TIMES SERVICE""
),
"""")
"),"")</f>
        <v/>
      </c>
      <c r="R6" s="13" t="str">
        <f t="shared" si="3"/>
        <v>🟢 SEND WHATSAPP</v>
      </c>
      <c r="S6" s="14" t="str">
        <f>IFERROR(__xludf.DUMMYFUNCTION("IFERROR(
TEXTJOIN(CHAR(10),TRUE,
FILTER(
""🔵 ""&amp;A2:A1011 &amp;"" | Rec: ""&amp;TEXT(G2:G1011,""dd-mmm"")&amp;
"" | Exp: ""&amp;TEXT(H2:H1011,""dd-mmm""),
(REGEXMATCH(LOWER(L2:L1011),""pending|in progress""))*
(H2:H1011&gt;TODAY())
)
),
""None""
)
"),"None")</f>
        <v>None</v>
      </c>
    </row>
    <row r="7">
      <c r="A7" s="9"/>
      <c r="B7" s="7"/>
      <c r="C7" s="7"/>
      <c r="D7" s="7"/>
      <c r="E7" s="7"/>
      <c r="F7" s="7"/>
      <c r="G7" s="8"/>
      <c r="H7" s="8"/>
      <c r="I7" s="7"/>
      <c r="J7" s="9"/>
      <c r="K7" s="7"/>
      <c r="L7" s="7"/>
      <c r="M7" s="10"/>
      <c r="N7" s="9"/>
      <c r="O7" s="11" t="s">
        <v>22</v>
      </c>
      <c r="P7" s="12" t="str">
        <f t="shared" si="2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7" s="13" t="str">
        <f>IFERROR(__xludf.DUMMYFUNCTION("IF(REGEXMATCH(LOWER(L7),""ready""),
""https://wa.me/91""&amp;C7&amp;""?text="" &amp;
ENCODEURL(
""📢 *SERVICE READY – READY FOR COLLECTION*"" &amp; CHAR(10) &amp; CHAR(10) &amp;
""📌 *English*"" &amp; CHAR(10) &amp;
""Dear "" &amp; B7 &amp; "","" &amp; CHAR(10) &amp;
""Your watch service is completed"&amp;" and ready for collection."" &amp; CHAR(10) &amp;
""Brand: "" &amp; D7 &amp; CHAR(10) &amp;
""Problem: "" &amp; F7 &amp; CHAR(10) &amp;
""Received Date: "" &amp; TEXT(G7,""dd-mmm-yyyy"") &amp; CHAR(10) &amp;
""Ready Date: "" &amp; TEXT(H7,""dd-mmm-yyyy"") &amp; CHAR(10) &amp;
""Balance Amount: ₹"" &amp; K7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D7 &amp; CHAR(10) &amp;
""பெறப்பட்ட தேதி: "" &amp; TEXT(G7,""dd-mmm-yyyy"") &amp; CHAR(10) &amp;
""தயார் தேதி: "" &amp; TEXT(H7,""dd-mmm-yyyy"") &amp; CHAR(10) &amp;
""மீதத் தொகை: ₹"" &amp; K7 &amp; CHAR(10) &amp; CHAR(10) &amp;
""🗺 *Google Map:* https://maps.app.goo.gl/DpPkfna7HQttx"&amp;"YXn9"" &amp; CHAR(10) &amp; CHAR(10) &amp;
""🙏 SMART TIMES SERVICE""
),
"""")
"),"")</f>
        <v/>
      </c>
      <c r="R7" s="13" t="str">
        <f t="shared" si="3"/>
        <v>🟢 SEND WHATSAPP</v>
      </c>
      <c r="S7" s="16" t="str">
        <f>"https://wa.me/?text="&amp;ENCODEURL(
"📊 SERVICE STATUS SUMMARY"&amp;CHAR(10)&amp;CHAR(10)&amp;
"🔴 OVERDUE"&amp;CHAR(10)&amp;S4&amp;CHAR(10)&amp;CHAR(10)&amp;
"🟠 DUE TODAY"&amp;CHAR(10)&amp;S5&amp;CHAR(10)&amp;CHAR(10)&amp;
"🔵 REMAINING"&amp;CHAR(10)&amp;S6&amp;CHAR(10)&amp;CHAR(10)&amp;
"— SMART TIMES SERVICE"
)
</f>
        <v>https://wa.me/?text=%F0%9F%93%8A%20SERVICE%20STATUS%20SUMMARY%0A%0A%F0%9F%94%B4%20OVERDUE%0ANone%0A%0A%F0%9F%9F%A0%20DUE%20TODAY%0ANone%0A%0A%F0%9F%94%B5%20REMAINING%0ANone%0A%0A%E2%80%94%20SMART%20TIMES%20SERVICE</v>
      </c>
    </row>
    <row r="8">
      <c r="A8" s="9"/>
      <c r="B8" s="7"/>
      <c r="C8" s="7"/>
      <c r="D8" s="7"/>
      <c r="E8" s="7"/>
      <c r="F8" s="7"/>
      <c r="G8" s="8"/>
      <c r="H8" s="17"/>
      <c r="I8" s="9"/>
      <c r="J8" s="9"/>
      <c r="K8" s="7"/>
      <c r="L8" s="7"/>
      <c r="M8" s="10"/>
      <c r="N8" s="9"/>
      <c r="O8" s="11"/>
      <c r="P8" s="13" t="str">
        <f t="shared" si="2"/>
        <v/>
      </c>
      <c r="Q8" s="13" t="str">
        <f>IFERROR(__xludf.DUMMYFUNCTION("IF(REGEXMATCH(LOWER(L8),""ready""),
""https://wa.me/91""&amp;C8&amp;""?text="" &amp;
ENCODEURL(
""📢 *SERVICE READY – READY FOR COLLECTION*"" &amp; CHAR(10) &amp; CHAR(10) &amp;
""📌 *English*"" &amp; CHAR(10) &amp;
""Dear "" &amp; B8 &amp; "","" &amp; CHAR(10) &amp;
""Your watch service is completed"&amp;" and ready for collection."" &amp; CHAR(10) &amp;
""Brand: "" &amp; D8 &amp; CHAR(10) &amp;
""Problem: "" &amp; F8 &amp; CHAR(10) &amp;
""Received Date: "" &amp; TEXT(G8,""dd-mmm-yyyy"") &amp; CHAR(10) &amp;
""Ready Date: "" &amp; TEXT(H8,""dd-mmm-yyyy"") &amp; CHAR(10) &amp;
""Balance Amount: ₹"" &amp; K8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D8 &amp; CHAR(10) &amp;
""பெறப்பட்ட தேதி: "" &amp; TEXT(G8,""dd-mmm-yyyy"") &amp; CHAR(10) &amp;
""தயார் தேதி: "" &amp; TEXT(H8,""dd-mmm-yyyy"") &amp; CHAR(10) &amp;
""மீதத் தொகை: ₹"" &amp; K8 &amp; CHAR(10) &amp; CHAR(10) &amp;
""🗺 *Google Map:* https://maps.app.goo.gl/DpPkfna7HQttx"&amp;"YXn9"" &amp; CHAR(10) &amp; CHAR(10) &amp;
""🙏 SMART TIMES SERVICE""
),
"""")
"),"")</f>
        <v/>
      </c>
      <c r="R8" s="13" t="str">
        <f t="shared" si="3"/>
        <v>🟢 SEND WHATSAPP</v>
      </c>
      <c r="S8" s="16" t="str">
        <f>HYPERLINK(S7,"🟢 SEND WHATSAPP")</f>
        <v>🟢 SEND WHATSAPP</v>
      </c>
    </row>
    <row r="9">
      <c r="A9" s="9"/>
      <c r="B9" s="9"/>
      <c r="C9" s="9"/>
      <c r="D9" s="7"/>
      <c r="E9" s="9"/>
      <c r="F9" s="9"/>
      <c r="G9" s="8"/>
      <c r="H9" s="9"/>
      <c r="I9" s="9"/>
      <c r="J9" s="9"/>
      <c r="K9" s="7"/>
      <c r="L9" s="7"/>
      <c r="M9" s="15"/>
      <c r="N9" s="9"/>
      <c r="O9" s="11"/>
      <c r="P9" s="13"/>
      <c r="Q9" s="13" t="str">
        <f>IFERROR(__xludf.DUMMYFUNCTION("IF(REGEXMATCH(LOWER(L9),""ready""),
""https://wa.me/91""&amp;C9&amp;""?text="" &amp;
ENCODEURL(
""📢 *SERVICE READY – READY FOR COLLECTION*"" &amp; CHAR(10) &amp; CHAR(10) &amp;
""📌 *English*"" &amp; CHAR(10) &amp;
""Dear "" &amp; B9 &amp; "","" &amp; CHAR(10) &amp;
""Your watch service is completed"&amp;" and ready for collection."" &amp; CHAR(10) &amp;
""Brand: "" &amp; D9 &amp; CHAR(10) &amp;
""Problem: "" &amp; F9 &amp; CHAR(10) &amp;
""Received Date: "" &amp; TEXT(G9,""dd-mmm-yyyy"") &amp; CHAR(10) &amp;
""Ready Date: "" &amp; TEXT(H9,""dd-mmm-yyyy"") &amp; CHAR(10) &amp;
""Balance Amount: ₹"" &amp; K9 &amp; CHAR("&amp;"10)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https://maps.app.goo."&amp;"gl/DpPkfna7HQttxYXn9"" &amp; CHAR(10) &amp; CHAR(10) &amp;
""📌 *தமிழ்*"" &amp; CHAR(10) &amp;
""வணக்கம் "" &amp; B9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CHAR(10) &amp;
"&amp;"""பிராண்ட்: "" &amp; D9 &amp; CHAR(10) &amp;
""பெறப்பட்ட தேதி: "" &amp; TEXT(G9,""dd-mmm-yyyy"") &amp; CHAR(10) &amp;
""தயார் தேதி: "" &amp; TEXT(H9,""dd-mmm-yyyy"") &amp; CHAR(10) &amp;
""மீதத் தொகை: ₹"" &amp; K9 &amp; CHAR(10) &amp; CHAR(10) &amp;
""🗺 *Google Map:* https://maps.app.goo.gl/DpPkfna7HQttx"&amp;"YXn9"" &amp; CHAR(10) &amp; CHAR(10) &amp;
""🙏 SMART TIMES SERVICE""
),
"""")
"),"")</f>
        <v/>
      </c>
      <c r="R9" s="13"/>
    </row>
    <row r="10">
      <c r="A10" s="7"/>
      <c r="B10" s="7"/>
      <c r="C10" s="7"/>
      <c r="D10" s="7"/>
      <c r="E10" s="7"/>
      <c r="F10" s="7"/>
      <c r="G10" s="17"/>
      <c r="H10" s="17"/>
      <c r="I10" s="9"/>
      <c r="J10" s="9"/>
      <c r="K10" s="7"/>
      <c r="L10" s="7"/>
      <c r="M10" s="15"/>
      <c r="N10" s="9"/>
      <c r="O10" s="11" t="s">
        <v>22</v>
      </c>
      <c r="P10" s="12" t="str">
        <f t="shared" ref="P10:P16" si="4">IF(O10="YES",
"https://wa.me/?text=" &amp;
ENCODEURL(
IF(OR(L10="Pending",L10="In Progress"),
"⚠ *SERVICE ALERT – ATTENTION REQUIRED*" &amp; CHAR(10) &amp; CHAR(10),
"📢 *SERVICE STATUS UPDATE*" &amp; CHAR(10) &amp; CHAR(10)
) &amp;
"Service ID: " &amp; A10 &amp; CHAR(10) &amp;
"Customer: " &amp; B10 &amp; CHAR(10) &amp;
"Mobile: " &amp; C10 &amp; CHAR(10) &amp;
"Brand: " &amp; D10 &amp; CHAR(10) &amp;
"Problem: " &amp; F10 &amp; CHAR(10) &amp; CHAR(10) &amp;
"Received Date: " &amp; TEXT(G10,"dd-mmm-yyyy") &amp; CHAR(10) &amp;
"Expected Delivery Date: " &amp; TEXT(H10,"dd-mmm-yyyy") &amp; CHAR(10) &amp;
"Current Status: *" &amp; L10 &amp; "*" &amp; CHAR(10) &amp; CHAR(10) &amp;
IF(OR(L10="Pending",L10="In Progress"),
"⚠ Please follow up immediately.",
"✅ Service update for information."
) &amp; CHAR(10) &amp; CHAR(10) &amp;
"Balance Amount: ₹" &amp; K10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0" s="13" t="str">
        <f>IFERROR(__xludf.DUMMYFUNCTION("IF(REGEXMATCH(LOWER(L10),""ready""),
""https://wa.me/91""&amp;C10&amp;""?text="" &amp;
ENCODEURL(
""📢 *SERVICE READY – READY FOR COLLECTION*"" &amp; CHAR(10) &amp; CHAR(10) &amp;
""📌 *English*"" &amp; CHAR(10) &amp;
""Dear "" &amp; B10 &amp; "","" &amp; CHAR(10) &amp;
""Your watch service is comple"&amp;"ted and ready for collection."" &amp; CHAR(10) &amp;
""Brand: "" &amp; D10 &amp; CHAR(10) &amp;
""Problem: "" &amp; F10 &amp; CHAR(10) &amp;
""Received Date: "" &amp; TEXT(G10,""dd-mmm-yyyy"") &amp; CHAR(10) &amp;
""Ready Date: "" &amp; TEXT(H10,""dd-mmm-yyyy"") &amp; CHAR(10) &amp;
""Balance Amount: ₹"" &amp; K10"&amp;"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D10 &amp; CHAR(10) &amp;
""பெறப்பட்ட தேதி: "" &amp; TEXT(G10,""dd-mmm-yyyy"") &amp; CHAR(10) &amp;
""தயார் தேதி: "" &amp; TEXT(H10,""dd-mmm-yyyy"") &amp; CHAR(10) &amp;
""மீதத் தொகை: ₹"" &amp; K10 &amp; CHAR(10) &amp; CHAR(10) &amp;
""🗺 *Google Map:* https://maps.app.goo.gl/D"&amp;"pPkfna7HQttxYXn9"" &amp; CHAR(10) &amp; CHAR(10) &amp;
""🙏 SMART TIMES SERVICE""
),
"""")
"),"")</f>
        <v/>
      </c>
      <c r="R10" s="13" t="str">
        <f t="shared" ref="R10:R16" si="5">HYPERLINK(Q10,"🟢 SEND WHATSAPP")</f>
        <v>🟢 SEND WHATSAPP</v>
      </c>
    </row>
    <row r="11">
      <c r="A11" s="9"/>
      <c r="B11" s="7"/>
      <c r="C11" s="7"/>
      <c r="D11" s="7"/>
      <c r="E11" s="7"/>
      <c r="F11" s="7"/>
      <c r="G11" s="17"/>
      <c r="H11" s="17"/>
      <c r="I11" s="9"/>
      <c r="J11" s="9"/>
      <c r="K11" s="7"/>
      <c r="L11" s="7"/>
      <c r="M11" s="10"/>
      <c r="N11" s="18"/>
      <c r="O11" s="11" t="s">
        <v>22</v>
      </c>
      <c r="P11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1" s="13" t="str">
        <f>IFERROR(__xludf.DUMMYFUNCTION("IF(REGEXMATCH(LOWER(L11),""ready""),
""https://wa.me/91""&amp;C11&amp;""?text="" &amp;
ENCODEURL(
""📢 *SERVICE READY – READY FOR COLLECTION*"" &amp; CHAR(10) &amp; CHAR(10) &amp;
""📌 *English*"" &amp; CHAR(10) &amp;
""Dear "" &amp; B11 &amp; "","" &amp; CHAR(10) &amp;
""Your watch service is comple"&amp;"ted and ready for collection."" &amp; CHAR(10) &amp;
""Brand: "" &amp; D11 &amp; CHAR(10) &amp;
""Problem: "" &amp; F11 &amp; CHAR(10) &amp;
""Received Date: "" &amp; TEXT(G11,""dd-mmm-yyyy"") &amp; CHAR(10) &amp;
""Ready Date: "" &amp; TEXT(H11,""dd-mmm-yyyy"") &amp; CHAR(10) &amp;
""Balance Amount: ₹"" &amp; K11"&amp;"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D11 &amp; CHAR(10) &amp;
""பெறப்பட்ட தேதி: "" &amp; TEXT(G11,""dd-mmm-yyyy"") &amp; CHAR(10) &amp;
""தயார் தேதி: "" &amp; TEXT(H11,""dd-mmm-yyyy"") &amp; CHAR(10) &amp;
""மீதத் தொகை: ₹"" &amp; K11 &amp; CHAR(10) &amp; CHAR(10) &amp;
""🗺 *Google Map:* https://maps.app.goo.gl/D"&amp;"pPkfna7HQttxYXn9"" &amp; CHAR(10) &amp; CHAR(10) &amp;
""🙏 SMART TIMES SERVICE""
),
"""")
"),"")</f>
        <v/>
      </c>
      <c r="R11" s="13" t="str">
        <f t="shared" si="5"/>
        <v>🟢 SEND WHATSAPP</v>
      </c>
    </row>
    <row r="12">
      <c r="A12" s="9"/>
      <c r="B12" s="7"/>
      <c r="C12" s="7"/>
      <c r="D12" s="7"/>
      <c r="E12" s="7"/>
      <c r="F12" s="7"/>
      <c r="G12" s="17"/>
      <c r="H12" s="17"/>
      <c r="I12" s="7"/>
      <c r="J12" s="9"/>
      <c r="K12" s="7"/>
      <c r="L12" s="7"/>
      <c r="M12" s="10"/>
      <c r="N12" s="9"/>
      <c r="O12" s="11" t="s">
        <v>22</v>
      </c>
      <c r="P12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2" s="13" t="str">
        <f>IFERROR(__xludf.DUMMYFUNCTION("IF(REGEXMATCH(LOWER(L12),""ready""),
""https://wa.me/91""&amp;C12&amp;""?text="" &amp;
ENCODEURL(
""📢 *SERVICE READY – READY FOR COLLECTION*"" &amp; CHAR(10) &amp; CHAR(10) &amp;
""📌 *English*"" &amp; CHAR(10) &amp;
""Dear "" &amp; B12 &amp; "","" &amp; CHAR(10) &amp;
""Your watch service is comple"&amp;"ted and ready for collection."" &amp; CHAR(10) &amp;
""Brand: "" &amp; D12 &amp; CHAR(10) &amp;
""Problem: "" &amp; F12 &amp; CHAR(10) &amp;
""Received Date: "" &amp; TEXT(G12,""dd-mmm-yyyy"") &amp; CHAR(10) &amp;
""Ready Date: "" &amp; TEXT(H12,""dd-mmm-yyyy"") &amp; CHAR(10) &amp;
""Balance Amount: ₹"" &amp; K12"&amp;"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D12 &amp; CHAR(10) &amp;
""பெறப்பட்ட தேதி: "" &amp; TEXT(G12,""dd-mmm-yyyy"") &amp; CHAR(10) &amp;
""தயார் தேதி: "" &amp; TEXT(H12,""dd-mmm-yyyy"") &amp; CHAR(10) &amp;
""மீதத் தொகை: ₹"" &amp; K12 &amp; CHAR(10) &amp; CHAR(10) &amp;
""🗺 *Google Map:* https://maps.app.goo.gl/D"&amp;"pPkfna7HQttxYXn9"" &amp; CHAR(10) &amp; CHAR(10) &amp;
""🙏 SMART TIMES SERVICE""
),
"""")
"),"")</f>
        <v/>
      </c>
      <c r="R12" s="13" t="str">
        <f t="shared" si="5"/>
        <v>🟢 SEND WHATSAPP</v>
      </c>
    </row>
    <row r="13">
      <c r="A13" s="9"/>
      <c r="B13" s="9"/>
      <c r="C13" s="9"/>
      <c r="D13" s="7"/>
      <c r="E13" s="9"/>
      <c r="F13" s="9"/>
      <c r="G13" s="9"/>
      <c r="H13" s="9"/>
      <c r="I13" s="9"/>
      <c r="J13" s="9"/>
      <c r="K13" s="7"/>
      <c r="L13" s="7"/>
      <c r="M13" s="15"/>
      <c r="N13" s="9"/>
      <c r="O13" s="11"/>
      <c r="P13" s="13" t="str">
        <f t="shared" si="4"/>
        <v/>
      </c>
      <c r="Q13" s="13" t="str">
        <f>IFERROR(__xludf.DUMMYFUNCTION("IF(REGEXMATCH(LOWER(L13),""ready""),
""https://wa.me/91""&amp;C13&amp;""?text="" &amp;
ENCODEURL(
""📢 *SERVICE READY – READY FOR COLLECTION*"" &amp; CHAR(10) &amp; CHAR(10) &amp;
""📌 *English*"" &amp; CHAR(10) &amp;
""Dear "" &amp; B13 &amp; "","" &amp; CHAR(10) &amp;
""Your watch service is comple"&amp;"ted and ready for collection."" &amp; CHAR(10) &amp;
""Brand: "" &amp; D13 &amp; CHAR(10) &amp;
""Problem: "" &amp; F13 &amp; CHAR(10) &amp;
""Received Date: "" &amp; TEXT(G13,""dd-mmm-yyyy"") &amp; CHAR(10) &amp;
""Ready Date: "" &amp; TEXT(H13,""dd-mmm-yyyy"") &amp; CHAR(10) &amp;
""Balance Amount: ₹"" &amp; K13"&amp;"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D13 &amp; CHAR(10) &amp;
""பெறப்பட்ட தேதி: "" &amp; TEXT(G13,""dd-mmm-yyyy"") &amp; CHAR(10) &amp;
""தயார் தேதி: "" &amp; TEXT(H13,""dd-mmm-yyyy"") &amp; CHAR(10) &amp;
""மீதத் தொகை: ₹"" &amp; K13 &amp; CHAR(10) &amp; CHAR(10) &amp;
""🗺 *Google Map:* https://maps.app.goo.gl/D"&amp;"pPkfna7HQttxYXn9"" &amp; CHAR(10) &amp; CHAR(10) &amp;
""🙏 SMART TIMES SERVICE""
),
"""")
"),"")</f>
        <v/>
      </c>
      <c r="R13" s="13" t="str">
        <f t="shared" si="5"/>
        <v>🟢 SEND WHATSAPP</v>
      </c>
    </row>
    <row r="14">
      <c r="A14" s="7"/>
      <c r="B14" s="7"/>
      <c r="C14" s="7"/>
      <c r="D14" s="7"/>
      <c r="E14" s="7"/>
      <c r="F14" s="7"/>
      <c r="G14" s="17"/>
      <c r="H14" s="17"/>
      <c r="I14" s="9"/>
      <c r="J14" s="9"/>
      <c r="K14" s="7"/>
      <c r="L14" s="7"/>
      <c r="M14" s="15"/>
      <c r="N14" s="9"/>
      <c r="O14" s="11" t="s">
        <v>22</v>
      </c>
      <c r="P14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4" s="13" t="str">
        <f>IFERROR(__xludf.DUMMYFUNCTION("IF(REGEXMATCH(LOWER(L14),""ready""),
""https://wa.me/91""&amp;C14&amp;""?text="" &amp;
ENCODEURL(
""📢 *SERVICE READY – READY FOR COLLECTION*"" &amp; CHAR(10) &amp; CHAR(10) &amp;
""📌 *English*"" &amp; CHAR(10) &amp;
""Dear "" &amp; B14 &amp; "","" &amp; CHAR(10) &amp;
""Your watch service is comple"&amp;"ted and ready for collection."" &amp; CHAR(10) &amp;
""Brand: "" &amp; D14 &amp; CHAR(10) &amp;
""Problem: "" &amp; F14 &amp; CHAR(10) &amp;
""Received Date: "" &amp; TEXT(G14,""dd-mmm-yyyy"") &amp; CHAR(10) &amp;
""Ready Date: "" &amp; TEXT(H14,""dd-mmm-yyyy"") &amp; CHAR(10) &amp;
""Balance Amount: ₹"" &amp; K14"&amp;"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D14 &amp; CHAR(10) &amp;
""பெறப்பட்ட தேதி: "" &amp; TEXT(G14,""dd-mmm-yyyy"") &amp; CHAR(10) &amp;
""தயார் தேதி: "" &amp; TEXT(H14,""dd-mmm-yyyy"") &amp; CHAR(10) &amp;
""மீதத் தொகை: ₹"" &amp; K14 &amp; CHAR(10) &amp; CHAR(10) &amp;
""🗺 *Google Map:* https://maps.app.goo.gl/D"&amp;"pPkfna7HQttxYXn9"" &amp; CHAR(10) &amp; CHAR(10) &amp;
""🙏 SMART TIMES SERVICE""
),
"""")
"),"")</f>
        <v/>
      </c>
      <c r="R14" s="13" t="str">
        <f t="shared" si="5"/>
        <v>🟢 SEND WHATSAPP</v>
      </c>
      <c r="S14" s="14" t="str">
        <f t="shared" ref="S14:S15" si="6">IF(S13&lt;&gt;"",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N13 &amp; CHAR(10) &amp; CHAR(10) &amp;
"Please follow up today." &amp; CHAR(10) &amp; CHAR(10) &amp;
"— SMART TIMES SERVICE"
),
"")
</f>
        <v/>
      </c>
    </row>
    <row r="15">
      <c r="A15" s="7"/>
      <c r="B15" s="7"/>
      <c r="C15" s="7"/>
      <c r="D15" s="7"/>
      <c r="E15" s="7"/>
      <c r="F15" s="7"/>
      <c r="G15" s="17"/>
      <c r="H15" s="17"/>
      <c r="I15" s="9"/>
      <c r="J15" s="9"/>
      <c r="K15" s="7"/>
      <c r="L15" s="7"/>
      <c r="M15" s="15"/>
      <c r="N15" s="9"/>
      <c r="O15" s="11" t="s">
        <v>22</v>
      </c>
      <c r="P15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5" s="13" t="str">
        <f>IFERROR(__xludf.DUMMYFUNCTION("IF(REGEXMATCH(LOWER(L15),""ready""),
""https://wa.me/91""&amp;C15&amp;""?text="" &amp;
ENCODEURL(
""📢 *SERVICE READY – READY FOR COLLECTION*"" &amp; CHAR(10) &amp; CHAR(10) &amp;
""📌 *English*"" &amp; CHAR(10) &amp;
""Dear "" &amp; B15 &amp; "","" &amp; CHAR(10) &amp;
""Your watch service is comple"&amp;"ted and ready for collection."" &amp; CHAR(10) &amp;
""Brand: "" &amp; D15 &amp; CHAR(10) &amp;
""Problem: "" &amp; F15 &amp; CHAR(10) &amp;
""Received Date: "" &amp; TEXT(G15,""dd-mmm-yyyy"") &amp; CHAR(10) &amp;
""Ready Date: "" &amp; TEXT(H15,""dd-mmm-yyyy"") &amp; CHAR(10) &amp;
""Balance Amount: ₹"" &amp; K15"&amp;"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D15 &amp; CHAR(10) &amp;
""பெறப்பட்ட தேதி: "" &amp; TEXT(G15,""dd-mmm-yyyy"") &amp; CHAR(10) &amp;
""தயார் தேதி: "" &amp; TEXT(H15,""dd-mmm-yyyy"") &amp; CHAR(10) &amp;
""மீதத் தொகை: ₹"" &amp; K15 &amp; CHAR(10) &amp; CHAR(10) &amp;
""🗺 *Google Map:* https://maps.app.goo.gl/D"&amp;"pPkfna7HQttxYXn9"" &amp; CHAR(10) &amp; CHAR(10) &amp;
""🙏 SMART TIMES SERVICE""
),
"""")
"),"")</f>
        <v/>
      </c>
      <c r="R15" s="13" t="str">
        <f t="shared" si="5"/>
        <v>🟢 SEND WHATSAPP</v>
      </c>
      <c r="S15" s="14" t="str">
        <f t="shared" si="6"/>
        <v/>
      </c>
    </row>
    <row r="16">
      <c r="A16" s="9"/>
      <c r="B16" s="7"/>
      <c r="C16" s="7"/>
      <c r="D16" s="7"/>
      <c r="E16" s="7"/>
      <c r="F16" s="7"/>
      <c r="G16" s="17"/>
      <c r="H16" s="17"/>
      <c r="I16" s="7"/>
      <c r="J16" s="9"/>
      <c r="K16" s="7"/>
      <c r="L16" s="7"/>
      <c r="M16" s="15"/>
      <c r="N16" s="9"/>
      <c r="O16" s="11" t="s">
        <v>22</v>
      </c>
      <c r="P16" s="12" t="str">
        <f t="shared" si="4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6" s="13" t="str">
        <f>IFERROR(__xludf.DUMMYFUNCTION("IF(REGEXMATCH(LOWER(L16),""ready""),
""https://wa.me/91""&amp;C16&amp;""?text="" &amp;
ENCODEURL(
""📢 *SERVICE READY – READY FOR COLLECTION*"" &amp; CHAR(10) &amp; CHAR(10) &amp;
""📌 *English*"" &amp; CHAR(10) &amp;
""Dear "" &amp; B16 &amp; "","" &amp; CHAR(10) &amp;
""Your watch service is comple"&amp;"ted and ready for collection."" &amp; CHAR(10) &amp;
""Brand: "" &amp; D16 &amp; CHAR(10) &amp;
""Problem: "" &amp; F16 &amp; CHAR(10) &amp;
""Received Date: "" &amp; TEXT(G16,""dd-mmm-yyyy"") &amp; CHAR(10) &amp;
""Ready Date: "" &amp; TEXT(H16,""dd-mmm-yyyy"") &amp; CHAR(10) &amp;
""Balance Amount: ₹"" &amp; K16"&amp;"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D16 &amp; CHAR(10) &amp;
""பெறப்பட்ட தேதி: "" &amp; TEXT(G16,""dd-mmm-yyyy"") &amp; CHAR(10) &amp;
""தயார் தேதி: "" &amp; TEXT(H16,""dd-mmm-yyyy"") &amp; CHAR(10) &amp;
""மீதத் தொகை: ₹"" &amp; K16 &amp; CHAR(10) &amp; CHAR(10) &amp;
""🗺 *Google Map:* https://maps.app.goo.gl/D"&amp;"pPkfna7HQttxYXn9"" &amp; CHAR(10) &amp; CHAR(10) &amp;
""🙏 SMART TIMES SERVICE""
),
"""")
"),"")</f>
        <v/>
      </c>
      <c r="R16" s="13" t="str">
        <f t="shared" si="5"/>
        <v>🟢 SEND WHATSAPP</v>
      </c>
    </row>
    <row r="17">
      <c r="A17" s="9"/>
      <c r="B17" s="7"/>
      <c r="C17" s="7"/>
      <c r="D17" s="7"/>
      <c r="E17" s="7"/>
      <c r="F17" s="7"/>
      <c r="G17" s="17"/>
      <c r="H17" s="17"/>
      <c r="I17" s="9"/>
      <c r="J17" s="9"/>
      <c r="K17" s="7"/>
      <c r="L17" s="7"/>
      <c r="M17" s="15"/>
      <c r="N17" s="9"/>
      <c r="O17" s="11"/>
      <c r="P17" s="13"/>
      <c r="Q17" s="13"/>
      <c r="R17" s="13"/>
    </row>
    <row r="18">
      <c r="A18" s="9"/>
      <c r="B18" s="7"/>
      <c r="C18" s="7"/>
      <c r="D18" s="7"/>
      <c r="E18" s="7"/>
      <c r="F18" s="7"/>
      <c r="G18" s="17"/>
      <c r="H18" s="7"/>
      <c r="I18" s="7"/>
      <c r="J18" s="9"/>
      <c r="K18" s="7"/>
      <c r="L18" s="7"/>
      <c r="M18" s="10"/>
      <c r="N18" s="9"/>
      <c r="O18" s="11" t="s">
        <v>22</v>
      </c>
      <c r="P18" s="12" t="str">
        <f t="shared" ref="P18:P21" si="7">IF(O18="YES",
"https://wa.me/?text=" &amp;
ENCODEURL(
IF(OR(L18="Pending",L18="In Progress"),
"⚠ *SERVICE ALERT – ATTENTION REQUIRED*" &amp; CHAR(10) &amp; CHAR(10),
"📢 *SERVICE STATUS UPDATE*" &amp; CHAR(10) &amp; CHAR(10)
) &amp;
"Service ID: " &amp; A18 &amp; CHAR(10) &amp;
"Customer: " &amp; B18 &amp; CHAR(10) &amp;
"Mobile: " &amp; C18 &amp; CHAR(10) &amp;
"Brand: " &amp; D18 &amp; CHAR(10) &amp;
"Problem: " &amp; F18 &amp; CHAR(10) &amp; CHAR(10) &amp;
"Received Date: " &amp; TEXT(G18,"dd-mmm-yyyy") &amp; CHAR(10) &amp;
"Expected Delivery Date: " &amp; TEXT(H18,"dd-mmm-yyyy") &amp; CHAR(10) &amp;
"Current Status: *" &amp; L18 &amp; "*" &amp; CHAR(10) &amp; CHAR(10) &amp;
IF(OR(L18="Pending",L18="In Progress"),
"⚠ Please follow up immediately.",
"✅ Service update for information."
) &amp; CHAR(10) &amp; CHAR(10) &amp;
"Balance Amount: ₹" &amp; K18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8" s="13" t="str">
        <f>IFERROR(__xludf.DUMMYFUNCTION("IF(REGEXMATCH(LOWER(L18),""ready""),
""https://wa.me/91""&amp;C18&amp;""?text="" &amp;
ENCODEURL(
""📢 *SERVICE READY – READY FOR COLLECTION*"" &amp; CHAR(10) &amp; CHAR(10) &amp;
""📌 *English*"" &amp; CHAR(10) &amp;
""Dear "" &amp; B18 &amp; "","" &amp; CHAR(10) &amp;
""Your watch service is comple"&amp;"ted and ready for collection."" &amp; CHAR(10) &amp;
""Brand: "" &amp; D18 &amp; CHAR(10) &amp;
""Problem: "" &amp; F18 &amp; CHAR(10) &amp;
""Received Date: "" &amp; TEXT(G18,""dd-mmm-yyyy"") &amp; CHAR(10) &amp;
""Ready Date: "" &amp; TEXT(H18,""dd-mmm-yyyy"") &amp; CHAR(10) &amp;
""Balance Amount: ₹"" &amp; K18"&amp;"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D18 &amp; CHAR(10) &amp;
""பெறப்பட்ட தேதி: "" &amp; TEXT(G18,""dd-mmm-yyyy"") &amp; CHAR(10) &amp;
""தயார் தேதி: "" &amp; TEXT(H18,""dd-mmm-yyyy"") &amp; CHAR(10) &amp;
""மீதத் தொகை: ₹"" &amp; K18 &amp; CHAR(10) &amp; CHAR(10) &amp;
""🗺 *Google Map:* https://maps.app.goo.gl/D"&amp;"pPkfna7HQttxYXn9"" &amp; CHAR(10) &amp; CHAR(10) &amp;
""🙏 SMART TIMES SERVICE""
),
"""")
"),"")</f>
        <v/>
      </c>
      <c r="R18" s="13" t="str">
        <f t="shared" ref="R18:R29" si="8">HYPERLINK(Q18,"🟢 SEND WHATSAPP")</f>
        <v>🟢 SEND WHATSAPP</v>
      </c>
      <c r="S18" s="14" t="str">
        <f t="shared" ref="S18:S21" si="9">IF(S17&lt;&gt;"",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N17 &amp; CHAR(10) &amp; CHAR(10) &amp;
"Please follow up today." &amp; CHAR(10) &amp; CHAR(10) &amp;
"— SMART TIMES SERVICE"
),
"")
</f>
        <v/>
      </c>
    </row>
    <row r="19">
      <c r="A19" s="9"/>
      <c r="B19" s="7"/>
      <c r="C19" s="7"/>
      <c r="D19" s="7"/>
      <c r="E19" s="7"/>
      <c r="F19" s="7"/>
      <c r="G19" s="17"/>
      <c r="H19" s="17"/>
      <c r="I19" s="9"/>
      <c r="J19" s="9"/>
      <c r="K19" s="7"/>
      <c r="L19" s="7"/>
      <c r="M19" s="15"/>
      <c r="N19" s="18"/>
      <c r="O19" s="11" t="s">
        <v>22</v>
      </c>
      <c r="P19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19" s="13" t="str">
        <f>IFERROR(__xludf.DUMMYFUNCTION("IF(REGEXMATCH(LOWER(L19),""ready""),
""https://wa.me/91""&amp;C19&amp;""?text="" &amp;
ENCODEURL(
""📢 *SERVICE READY – READY FOR COLLECTION*"" &amp; CHAR(10) &amp; CHAR(10) &amp;
""📌 *English*"" &amp; CHAR(10) &amp;
""Dear "" &amp; B19 &amp; "","" &amp; CHAR(10) &amp;
""Your watch service is comple"&amp;"ted and ready for collection."" &amp; CHAR(10) &amp;
""Brand: "" &amp; D19 &amp; CHAR(10) &amp;
""Problem: "" &amp; F19 &amp; CHAR(10) &amp;
""Received Date: "" &amp; TEXT(G19,""dd-mmm-yyyy"") &amp; CHAR(10) &amp;
""Ready Date: "" &amp; TEXT(H19,""dd-mmm-yyyy"") &amp; CHAR(10) &amp;
""Balance Amount: ₹"" &amp; K19"&amp;"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B19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D19 &amp; CHAR(10) &amp;
""பெறப்பட்ட தேதி: "" &amp; TEXT(G19,""dd-mmm-yyyy"") &amp; CHAR(10) &amp;
""தயார் தேதி: "" &amp; TEXT(H19,""dd-mmm-yyyy"") &amp; CHAR(10) &amp;
""மீதத் தொகை: ₹"" &amp; K19 &amp; CHAR(10) &amp; CHAR(10) &amp;
""🗺 *Google Map:* https://maps.app.goo.gl/D"&amp;"pPkfna7HQttxYXn9"" &amp; CHAR(10) &amp; CHAR(10) &amp;
""🙏 SMART TIMES SERVICE""
),
"""")
"),"")</f>
        <v/>
      </c>
      <c r="R19" s="13" t="str">
        <f t="shared" si="8"/>
        <v>🟢 SEND WHATSAPP</v>
      </c>
      <c r="S19" s="14" t="str">
        <f t="shared" si="9"/>
        <v/>
      </c>
    </row>
    <row r="20">
      <c r="A20" s="9"/>
      <c r="B20" s="7"/>
      <c r="C20" s="7"/>
      <c r="D20" s="7"/>
      <c r="E20" s="7"/>
      <c r="F20" s="7"/>
      <c r="G20" s="17"/>
      <c r="H20" s="17"/>
      <c r="I20" s="7"/>
      <c r="J20" s="9"/>
      <c r="K20" s="7"/>
      <c r="L20" s="7"/>
      <c r="M20" s="15"/>
      <c r="N20" s="19"/>
      <c r="O20" s="11" t="s">
        <v>22</v>
      </c>
      <c r="P20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0" s="13" t="str">
        <f>IFERROR(__xludf.DUMMYFUNCTION("IF(REGEXMATCH(LOWER(L20),""ready""),
""https://wa.me/91""&amp;C20&amp;""?text="" &amp;
ENCODEURL(
""📢 *SERVICE READY – READY FOR COLLECTION*"" &amp; CHAR(10) &amp; CHAR(10) &amp;
""📌 *English*"" &amp; CHAR(10) &amp;
""Dear "" &amp; B20 &amp; "","" &amp; CHAR(10) &amp;
""Your watch service is comple"&amp;"ted and ready for collection."" &amp; CHAR(10) &amp;
""Brand: "" &amp; D20 &amp; CHAR(10) &amp;
""Problem: "" &amp; F20 &amp; CHAR(10) &amp;
""Received Date: "" &amp; TEXT(G20,""dd-mmm-yyyy"") &amp; CHAR(10) &amp;
""Ready Date: "" &amp; TEXT(H20,""dd-mmm-yyyy"") &amp; CHAR(10) &amp;
""Balance Amount: ₹"" &amp; K20"&amp;"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B20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D20 &amp; CHAR(10) &amp;
""பெறப்பட்ட தேதி: "" &amp; TEXT(G20,""dd-mmm-yyyy"") &amp; CHAR(10) &amp;
""தயார் தேதி: "" &amp; TEXT(H20,""dd-mmm-yyyy"") &amp; CHAR(10) &amp;
""மீதத் தொகை: ₹"" &amp; K20 &amp; CHAR(10) &amp; CHAR(10) &amp;
""🗺 *Google Map:* https://maps.app.goo.gl/D"&amp;"pPkfna7HQttxYXn9"" &amp; CHAR(10) &amp; CHAR(10) &amp;
""🙏 SMART TIMES SERVICE""
),
"""")
"),"")</f>
        <v/>
      </c>
      <c r="R20" s="13" t="str">
        <f t="shared" si="8"/>
        <v>🟢 SEND WHATSAPP</v>
      </c>
      <c r="S20" s="14" t="str">
        <f t="shared" si="9"/>
        <v/>
      </c>
    </row>
    <row r="21">
      <c r="A21" s="9"/>
      <c r="B21" s="7"/>
      <c r="C21" s="7"/>
      <c r="D21" s="7"/>
      <c r="E21" s="7"/>
      <c r="F21" s="7"/>
      <c r="G21" s="17"/>
      <c r="H21" s="17"/>
      <c r="I21" s="9"/>
      <c r="J21" s="9"/>
      <c r="K21" s="7"/>
      <c r="L21" s="7"/>
      <c r="M21" s="15"/>
      <c r="N21" s="9"/>
      <c r="O21" s="11" t="s">
        <v>22</v>
      </c>
      <c r="P21" s="12" t="str">
        <f t="shared" si="7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1" s="13" t="str">
        <f>IFERROR(__xludf.DUMMYFUNCTION("IF(REGEXMATCH(LOWER(L21),""ready""),
""https://wa.me/91""&amp;C21&amp;""?text="" &amp;
ENCODEURL(
""📢 *SERVICE READY – READY FOR COLLECTION*"" &amp; CHAR(10) &amp; CHAR(10) &amp;
""📌 *English*"" &amp; CHAR(10) &amp;
""Dear "" &amp; B21 &amp; "","" &amp; CHAR(10) &amp;
""Your watch service is comple"&amp;"ted and ready for collection."" &amp; CHAR(10) &amp;
""Brand: "" &amp; D21 &amp; CHAR(10) &amp;
""Problem: "" &amp; F21 &amp; CHAR(10) &amp;
""Received Date: "" &amp; TEXT(G21,""dd-mmm-yyyy"") &amp; CHAR(10) &amp;
""Ready Date: "" &amp; TEXT(H21,""dd-mmm-yyyy"") &amp; CHAR(10) &amp;
""Balance Amount: ₹"" &amp; K21"&amp;"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D21 &amp; CHAR(10) &amp;
""பெறப்பட்ட தேதி: "" &amp; TEXT(G21,""dd-mmm-yyyy"") &amp; CHAR(10) &amp;
""தயார் தேதி: "" &amp; TEXT(H21,""dd-mmm-yyyy"") &amp; CHAR(10) &amp;
""மீதத் தொகை: ₹"" &amp; K21 &amp; CHAR(10) &amp; CHAR(10) &amp;
""🗺 *Google Map:* https://maps.app.goo.gl/D"&amp;"pPkfna7HQttxYXn9"" &amp; CHAR(10) &amp; CHAR(10) &amp;
""🙏 SMART TIMES SERVICE""
),
"""")
"),"")</f>
        <v/>
      </c>
      <c r="R21" s="13" t="str">
        <f t="shared" si="8"/>
        <v>🟢 SEND WHATSAPP</v>
      </c>
      <c r="S21" s="14" t="str">
        <f t="shared" si="9"/>
        <v/>
      </c>
    </row>
    <row r="22">
      <c r="A22" s="9"/>
      <c r="B22" s="9"/>
      <c r="C22" s="9"/>
      <c r="D22" s="7"/>
      <c r="E22" s="9"/>
      <c r="F22" s="9"/>
      <c r="G22" s="9"/>
      <c r="H22" s="9"/>
      <c r="I22" s="9"/>
      <c r="J22" s="9"/>
      <c r="K22" s="7"/>
      <c r="L22" s="7"/>
      <c r="M22" s="15"/>
      <c r="N22" s="9"/>
      <c r="O22" s="11"/>
      <c r="P22" s="13"/>
      <c r="Q22" s="13" t="str">
        <f>IFERROR(__xludf.DUMMYFUNCTION("IF(REGEXMATCH(LOWER(L22),""ready""),
""https://wa.me/91""&amp;C22&amp;""?text="" &amp;
ENCODEURL(
""📢 *SERVICE READY – READY FOR COLLECTION*"" &amp; CHAR(10) &amp; CHAR(10) &amp;
""📌 *English*"" &amp; CHAR(10) &amp;
""Dear "" &amp; B22 &amp; "","" &amp; CHAR(10) &amp;
""Your watch service is comple"&amp;"ted and ready for collection."" &amp; CHAR(10) &amp;
""Brand: "" &amp; D22 &amp; CHAR(10) &amp;
""Problem: "" &amp; F22 &amp; CHAR(10) &amp;
""Received Date: "" &amp; TEXT(G22,""dd-mmm-yyyy"") &amp; CHAR(10) &amp;
""Ready Date: "" &amp; TEXT(H22,""dd-mmm-yyyy"") &amp; CHAR(10) &amp;
""Balance Amount: ₹"" &amp; K22"&amp;"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D22 &amp; CHAR(10) &amp;
""பெறப்பட்ட தேதி: "" &amp; TEXT(G22,""dd-mmm-yyyy"") &amp; CHAR(10) &amp;
""தயார் தேதி: "" &amp; TEXT(H22,""dd-mmm-yyyy"") &amp; CHAR(10) &amp;
""மீதத் தொகை: ₹"" &amp; K22 &amp; CHAR(10) &amp; CHAR(10) &amp;
""🗺 *Google Map:* https://maps.app.goo.gl/D"&amp;"pPkfna7HQttxYXn9"" &amp; CHAR(10) &amp; CHAR(10) &amp;
""🙏 SMART TIMES SERVICE""
),
"""")
"),"")</f>
        <v/>
      </c>
      <c r="R22" s="13" t="str">
        <f t="shared" si="8"/>
        <v>🟢 SEND WHATSAPP</v>
      </c>
    </row>
    <row r="23">
      <c r="A23" s="9"/>
      <c r="B23" s="7"/>
      <c r="C23" s="7"/>
      <c r="D23" s="7"/>
      <c r="E23" s="7"/>
      <c r="F23" s="7"/>
      <c r="G23" s="17"/>
      <c r="H23" s="17"/>
      <c r="I23" s="7"/>
      <c r="J23" s="9"/>
      <c r="K23" s="7"/>
      <c r="L23" s="7"/>
      <c r="M23" s="15"/>
      <c r="N23" s="9"/>
      <c r="O23" s="11" t="s">
        <v>22</v>
      </c>
      <c r="P23" s="12" t="str">
        <f>IF(O23="YES",
"https://wa.me/?text=" &amp;
ENCODEURL(
IF(OR(L23="Pending",L23="In Progress"),
"⚠ *SERVICE ALERT – ATTENTION REQUIRED*" &amp; CHAR(10) &amp; CHAR(10),
"📢 *SERVICE STATUS UPDATE*" &amp; CHAR(10) &amp; CHAR(10)
) &amp;
"Service ID: " &amp; A23 &amp; CHAR(10) &amp;
"Customer: " &amp; B23 &amp; CHAR(10) &amp;
"Mobile: " &amp; C23 &amp; CHAR(10) &amp;
"Brand: " &amp; D23 &amp; CHAR(10) &amp;
"Problem: " &amp; F23 &amp; CHAR(10) &amp; CHAR(10) &amp;
"Received Date: " &amp; TEXT(G23,"dd-mmm-yyyy") &amp; CHAR(10) &amp;
"Expected Delivery Date: " &amp; TEXT(H23,"dd-mmm-yyyy") &amp; CHAR(10) &amp;
"Current Status: *" &amp; L23 &amp; "*" &amp; CHAR(10) &amp; CHAR(10) &amp;
IF(OR(L23="Pending",L23="In Progress"),
"⚠ Please follow up immediately.",
"✅ Service update for information."
) &amp; CHAR(10) &amp; CHAR(10) &amp;
"Balance Amount: ₹" &amp; K23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3" s="13" t="str">
        <f>IFERROR(__xludf.DUMMYFUNCTION("IF(REGEXMATCH(LOWER(L23),""ready""),
""https://wa.me/91""&amp;C23&amp;""?text="" &amp;
ENCODEURL(
""📢 *SERVICE READY – READY FOR COLLECTION*"" &amp; CHAR(10) &amp; CHAR(10) &amp;
""📌 *English*"" &amp; CHAR(10) &amp;
""Dear "" &amp; B23 &amp; "","" &amp; CHAR(10) &amp;
""Your watch service is comple"&amp;"ted and ready for collection."" &amp; CHAR(10) &amp;
""Brand: "" &amp; D23 &amp; CHAR(10) &amp;
""Problem: "" &amp; F23 &amp; CHAR(10) &amp;
""Received Date: "" &amp; TEXT(G23,""dd-mmm-yyyy"") &amp; CHAR(10) &amp;
""Ready Date: "" &amp; TEXT(H23,""dd-mmm-yyyy"") &amp; CHAR(10) &amp;
""Balance Amount: ₹"" &amp; K23"&amp;"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D23 &amp; CHAR(10) &amp;
""பெறப்பட்ட தேதி: "" &amp; TEXT(G23,""dd-mmm-yyyy"") &amp; CHAR(10) &amp;
""தயார் தேதி: "" &amp; TEXT(H23,""dd-mmm-yyyy"") &amp; CHAR(10) &amp;
""மீதத் தொகை: ₹"" &amp; K23 &amp; CHAR(10) &amp; CHAR(10) &amp;
""🗺 *Google Map:* https://maps.app.goo.gl/D"&amp;"pPkfna7HQttxYXn9"" &amp; CHAR(10) &amp; CHAR(10) &amp;
""🙏 SMART TIMES SERVICE""
),
"""")
"),"")</f>
        <v/>
      </c>
      <c r="R23" s="13" t="str">
        <f t="shared" si="8"/>
        <v>🟢 SEND WHATSAPP</v>
      </c>
      <c r="S23" s="14" t="str">
        <f>IF(S22&lt;&gt;"",
"https://wa.me/?text=" &amp;
ENCODEURL(
"⚠ *SERVICE PENDING SUMMARY*" &amp; CHAR(10) &amp; CHAR(10) &amp;
"Total Pending / In-Progress Watches: *" &amp;
COUNTIF(L:L,"Pending")+COUNTIF(L:L,"In Progress") &amp; "*" &amp; CHAR(10) &amp; CHAR(10) &amp;
"📋 *Service IDs:*" &amp; CHAR(10) &amp;
N22 &amp; CHAR(10) &amp; CHAR(10) &amp;
"Please follow up today." &amp; CHAR(10) &amp; CHAR(10) &amp;
"— SMART TIMES SERVICE"
),
"")
</f>
        <v/>
      </c>
    </row>
    <row r="24">
      <c r="A24" s="9"/>
      <c r="B24" s="7"/>
      <c r="C24" s="7"/>
      <c r="D24" s="7"/>
      <c r="E24" s="7"/>
      <c r="F24" s="7"/>
      <c r="G24" s="17"/>
      <c r="H24" s="17"/>
      <c r="I24" s="7"/>
      <c r="J24" s="9"/>
      <c r="K24" s="7"/>
      <c r="L24" s="7"/>
      <c r="M24" s="15"/>
      <c r="N24" s="9"/>
      <c r="O24" s="11"/>
      <c r="P24" s="13"/>
      <c r="Q24" s="13"/>
      <c r="R24" s="13" t="str">
        <f t="shared" si="8"/>
        <v>🟢 SEND WHATSAPP</v>
      </c>
    </row>
    <row r="25">
      <c r="A25" s="9"/>
      <c r="B25" s="7"/>
      <c r="C25" s="7"/>
      <c r="D25" s="7"/>
      <c r="E25" s="7"/>
      <c r="F25" s="7"/>
      <c r="G25" s="17"/>
      <c r="H25" s="17"/>
      <c r="I25" s="9"/>
      <c r="J25" s="9"/>
      <c r="K25" s="7"/>
      <c r="L25" s="7"/>
      <c r="M25" s="15"/>
      <c r="N25" s="9"/>
      <c r="O25" s="11" t="s">
        <v>22</v>
      </c>
      <c r="P25" s="12" t="str">
        <f t="shared" ref="P25:P29" si="10">IF(O25="YES",
"https://wa.me/?text=" &amp;
ENCODEURL(
IF(OR(L25="Pending",L25="In Progress"),
"⚠ *SERVICE ALERT – ATTENTION REQUIRED*" &amp; CHAR(10) &amp; CHAR(10),
"📢 *SERVICE STATUS UPDATE*" &amp; CHAR(10) &amp; CHAR(10)
) &amp;
"Service ID: " &amp; A25 &amp; CHAR(10) &amp;
"Customer: " &amp; B25 &amp; CHAR(10) &amp;
"Mobile: " &amp; C25 &amp; CHAR(10) &amp;
"Brand: " &amp; D25 &amp; CHAR(10) &amp;
"Problem: " &amp; F25 &amp; CHAR(10) &amp; CHAR(10) &amp;
"Received Date: " &amp; TEXT(G25,"dd-mmm-yyyy") &amp; CHAR(10) &amp;
"Expected Delivery Date: " &amp; TEXT(H25,"dd-mmm-yyyy") &amp; CHAR(10) &amp;
"Current Status: *" &amp; L25 &amp; "*" &amp; CHAR(10) &amp; CHAR(10) &amp;
IF(OR(L25="Pending",L25="In Progress"),
"⚠ Please follow up immediately.",
"✅ Service update for information."
) &amp; CHAR(10) &amp; CHAR(10) &amp;
"Balance Amount: ₹" &amp; K25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5" s="13" t="str">
        <f>IFERROR(__xludf.DUMMYFUNCTION("IF(REGEXMATCH(LOWER(L25),""ready""),
""https://wa.me/91""&amp;C25&amp;""?text="" &amp;
ENCODEURL(
""📢 *SERVICE READY – READY FOR COLLECTION*"" &amp; CHAR(10) &amp; CHAR(10) &amp;
""📌 *English*"" &amp; CHAR(10) &amp;
""Dear "" &amp; B25 &amp; "","" &amp; CHAR(10) &amp;
""Your watch service is comple"&amp;"ted and ready for collection."" &amp; CHAR(10) &amp;
""Brand: "" &amp; D25 &amp; CHAR(10) &amp;
""Problem: "" &amp; F25 &amp; CHAR(10) &amp;
""Received Date: "" &amp; TEXT(G25,""dd-mmm-yyyy"") &amp; CHAR(10) &amp;
""Ready Date: "" &amp; TEXT(H25,""dd-mmm-yyyy"") &amp; CHAR(10) &amp;
""Balance Amount: ₹"" &amp; K25"&amp;"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D25 &amp; CHAR(10) &amp;
""பெறப்பட்ட தேதி: "" &amp; TEXT(G25,""dd-mmm-yyyy"") &amp; CHAR(10) &amp;
""தயார் தேதி: "" &amp; TEXT(H25,""dd-mmm-yyyy"") &amp; CHAR(10) &amp;
""மீதத் தொகை: ₹"" &amp; K25 &amp; CHAR(10) &amp; CHAR(10) &amp;
""🗺 *Google Map:* https://maps.app.goo.gl/D"&amp;"pPkfna7HQttxYXn9"" &amp; CHAR(10) &amp; CHAR(10) &amp;
""🙏 SMART TIMES SERVICE""
),
"""")
"),"")</f>
        <v/>
      </c>
      <c r="R25" s="13" t="str">
        <f t="shared" si="8"/>
        <v>🟢 SEND WHATSAPP</v>
      </c>
    </row>
    <row r="26">
      <c r="A26" s="9"/>
      <c r="B26" s="7"/>
      <c r="C26" s="7"/>
      <c r="D26" s="7"/>
      <c r="E26" s="7"/>
      <c r="F26" s="7"/>
      <c r="G26" s="17"/>
      <c r="H26" s="17"/>
      <c r="I26" s="7"/>
      <c r="J26" s="9"/>
      <c r="K26" s="7"/>
      <c r="L26" s="7"/>
      <c r="M26" s="15"/>
      <c r="N26" s="9"/>
      <c r="O26" s="11" t="s">
        <v>22</v>
      </c>
      <c r="P26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6" s="13" t="str">
        <f>IFERROR(__xludf.DUMMYFUNCTION("IF(REGEXMATCH(LOWER(L26),""ready""),
""https://wa.me/91""&amp;C26&amp;""?text="" &amp;
ENCODEURL(
""📢 *SERVICE READY – READY FOR COLLECTION*"" &amp; CHAR(10) &amp; CHAR(10) &amp;
""📌 *English*"" &amp; CHAR(10) &amp;
""Dear "" &amp; B26 &amp; "","" &amp; CHAR(10) &amp;
""Your watch service is comple"&amp;"ted and ready for collection."" &amp; CHAR(10) &amp;
""Brand: "" &amp; D26 &amp; CHAR(10) &amp;
""Problem: "" &amp; F26 &amp; CHAR(10) &amp;
""Received Date: "" &amp; TEXT(G26,""dd-mmm-yyyy"") &amp; CHAR(10) &amp;
""Ready Date: "" &amp; TEXT(H26,""dd-mmm-yyyy"") &amp; CHAR(10) &amp;
""Balance Amount: ₹"" &amp; K26"&amp;"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D26 &amp; CHAR(10) &amp;
""பெறப்பட்ட தேதி: "" &amp; TEXT(G26,""dd-mmm-yyyy"") &amp; CHAR(10) &amp;
""தயார் தேதி: "" &amp; TEXT(H26,""dd-mmm-yyyy"") &amp; CHAR(10) &amp;
""மீதத் தொகை: ₹"" &amp; K26 &amp; CHAR(10) &amp; CHAR(10) &amp;
""🗺 *Google Map:* https://maps.app.goo.gl/D"&amp;"pPkfna7HQttxYXn9"" &amp; CHAR(10) &amp; CHAR(10) &amp;
""🙏 SMART TIMES SERVICE""
),
"""")
"),"")</f>
        <v/>
      </c>
      <c r="R26" s="13" t="str">
        <f t="shared" si="8"/>
        <v>🟢 SEND WHATSAPP</v>
      </c>
    </row>
    <row r="27">
      <c r="A27" s="9"/>
      <c r="B27" s="7"/>
      <c r="C27" s="7"/>
      <c r="D27" s="7"/>
      <c r="E27" s="7"/>
      <c r="F27" s="7"/>
      <c r="G27" s="17"/>
      <c r="H27" s="17"/>
      <c r="I27" s="7"/>
      <c r="J27" s="9"/>
      <c r="K27" s="7"/>
      <c r="L27" s="7"/>
      <c r="M27" s="10"/>
      <c r="N27" s="9"/>
      <c r="O27" s="11" t="s">
        <v>22</v>
      </c>
      <c r="P27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7" s="13" t="str">
        <f>IFERROR(__xludf.DUMMYFUNCTION("IF(REGEXMATCH(LOWER(L27),""ready""),
""https://wa.me/91""&amp;C27&amp;""?text="" &amp;
ENCODEURL(
""📢 *SERVICE READY – READY FOR COLLECTION*"" &amp; CHAR(10) &amp; CHAR(10) &amp;
""📌 *English*"" &amp; CHAR(10) &amp;
""Dear "" &amp; B27 &amp; "","" &amp; CHAR(10) &amp;
""Your watch service is comple"&amp;"ted and ready for collection."" &amp; CHAR(10) &amp;
""Brand: "" &amp; D27 &amp; CHAR(10) &amp;
""Problem: "" &amp; F27 &amp; CHAR(10) &amp;
""Received Date: "" &amp; TEXT(G27,""dd-mmm-yyyy"") &amp; CHAR(10) &amp;
""Ready Date: "" &amp; TEXT(H27,""dd-mmm-yyyy"") &amp; CHAR(10) &amp;
""Balance Amount: ₹"" &amp; K27"&amp;"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B27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D27 &amp; CHAR(10) &amp;
""பெறப்பட்ட தேதி: "" &amp; TEXT(G27,""dd-mmm-yyyy"") &amp; CHAR(10) &amp;
""தயார் தேதி: "" &amp; TEXT(H27,""dd-mmm-yyyy"") &amp; CHAR(10) &amp;
""மீதத் தொகை: ₹"" &amp; K27 &amp; CHAR(10) &amp; CHAR(10) &amp;
""🗺 *Google Map:* https://maps.app.goo.gl/D"&amp;"pPkfna7HQttxYXn9"" &amp; CHAR(10) &amp; CHAR(10) &amp;
""🙏 SMART TIMES SERVICE""
),
"""")
"),"")</f>
        <v/>
      </c>
      <c r="R27" s="13" t="str">
        <f t="shared" si="8"/>
        <v>🟢 SEND WHATSAPP</v>
      </c>
    </row>
    <row r="28">
      <c r="A28" s="9"/>
      <c r="B28" s="7"/>
      <c r="C28" s="7"/>
      <c r="D28" s="7"/>
      <c r="E28" s="7"/>
      <c r="F28" s="7"/>
      <c r="G28" s="17"/>
      <c r="H28" s="17"/>
      <c r="I28" s="9"/>
      <c r="J28" s="9"/>
      <c r="K28" s="7"/>
      <c r="L28" s="7"/>
      <c r="M28" s="15"/>
      <c r="N28" s="9"/>
      <c r="O28" s="11" t="s">
        <v>22</v>
      </c>
      <c r="P28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8" s="13" t="str">
        <f>IFERROR(__xludf.DUMMYFUNCTION("IF(REGEXMATCH(LOWER(L28),""ready""),
""https://wa.me/91""&amp;C28&amp;""?text="" &amp;
ENCODEURL(
""📢 *SERVICE READY – READY FOR COLLECTION*"" &amp; CHAR(10) &amp; CHAR(10) &amp;
""📌 *English*"" &amp; CHAR(10) &amp;
""Dear "" &amp; B28 &amp; "","" &amp; CHAR(10) &amp;
""Your watch service is comple"&amp;"ted and ready for collection."" &amp; CHAR(10) &amp;
""Brand: "" &amp; D28 &amp; CHAR(10) &amp;
""Problem: "" &amp; F28 &amp; CHAR(10) &amp;
""Received Date: "" &amp; TEXT(G28,""dd-mmm-yyyy"") &amp; CHAR(10) &amp;
""Ready Date: "" &amp; TEXT(H28,""dd-mmm-yyyy"") &amp; CHAR(10) &amp;
""Balance Amount: ₹"" &amp; K28"&amp;"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D28 &amp; CHAR(10) &amp;
""பெறப்பட்ட தேதி: "" &amp; TEXT(G28,""dd-mmm-yyyy"") &amp; CHAR(10) &amp;
""தயார் தேதி: "" &amp; TEXT(H28,""dd-mmm-yyyy"") &amp; CHAR(10) &amp;
""மீதத் தொகை: ₹"" &amp; K28 &amp; CHAR(10) &amp; CHAR(10) &amp;
""🗺 *Google Map:* https://maps.app.goo.gl/D"&amp;"pPkfna7HQttxYXn9"" &amp; CHAR(10) &amp; CHAR(10) &amp;
""🙏 SMART TIMES SERVICE""
),
"""")
"),"")</f>
        <v/>
      </c>
      <c r="R28" s="13" t="str">
        <f t="shared" si="8"/>
        <v>🟢 SEND WHATSAPP</v>
      </c>
    </row>
    <row r="29">
      <c r="A29" s="9"/>
      <c r="B29" s="7"/>
      <c r="C29" s="7"/>
      <c r="D29" s="7"/>
      <c r="E29" s="7"/>
      <c r="F29" s="7"/>
      <c r="G29" s="17"/>
      <c r="H29" s="17"/>
      <c r="I29" s="7"/>
      <c r="J29" s="9"/>
      <c r="K29" s="7"/>
      <c r="L29" s="7"/>
      <c r="M29" s="15"/>
      <c r="N29" s="9"/>
      <c r="O29" s="11" t="s">
        <v>22</v>
      </c>
      <c r="P29" s="12" t="str">
        <f t="shared" si="10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29" s="13" t="str">
        <f>IFERROR(__xludf.DUMMYFUNCTION("IF(REGEXMATCH(LOWER(L29),""ready""),
""https://wa.me/91""&amp;C29&amp;""?text="" &amp;
ENCODEURL(
""📢 *SERVICE READY – READY FOR COLLECTION*"" &amp; CHAR(10) &amp; CHAR(10) &amp;
""📌 *English*"" &amp; CHAR(10) &amp;
""Dear "" &amp; B29 &amp; "","" &amp; CHAR(10) &amp;
""Your watch service is comple"&amp;"ted and ready for collection."" &amp; CHAR(10) &amp;
""Brand: "" &amp; D29 &amp; CHAR(10) &amp;
""Problem: "" &amp; F29 &amp; CHAR(10) &amp;
""Received Date: "" &amp; TEXT(G29,""dd-mmm-yyyy"") &amp; CHAR(10) &amp;
""Ready Date: "" &amp; TEXT(H29,""dd-mmm-yyyy"") &amp; CHAR(10) &amp;
""Balance Amount: ₹"" &amp; K29"&amp;"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B29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D29 &amp; CHAR(10) &amp;
""பெறப்பட்ட தேதி: "" &amp; TEXT(G29,""dd-mmm-yyyy"") &amp; CHAR(10) &amp;
""தயார் தேதி: "" &amp; TEXT(H29,""dd-mmm-yyyy"") &amp; CHAR(10) &amp;
""மீதத் தொகை: ₹"" &amp; K29 &amp; CHAR(10) &amp; CHAR(10) &amp;
""🗺 *Google Map:* https://maps.app.goo.gl/D"&amp;"pPkfna7HQttxYXn9"" &amp; CHAR(10) &amp; CHAR(10) &amp;
""🙏 SMART TIMES SERVICE""
),
"""")
"),"")</f>
        <v/>
      </c>
      <c r="R29" s="13" t="str">
        <f t="shared" si="8"/>
        <v>🟢 SEND WHATSAPP</v>
      </c>
    </row>
    <row r="30">
      <c r="A30" s="9"/>
      <c r="B30" s="9"/>
      <c r="C30" s="9"/>
      <c r="D30" s="7"/>
      <c r="E30" s="9"/>
      <c r="F30" s="9"/>
      <c r="G30" s="9"/>
      <c r="H30" s="9"/>
      <c r="I30" s="9"/>
      <c r="J30" s="9"/>
      <c r="K30" s="7"/>
      <c r="L30" s="7"/>
      <c r="M30" s="15"/>
      <c r="N30" s="9"/>
      <c r="O30" s="11"/>
      <c r="P30" s="13"/>
      <c r="Q30" s="13"/>
      <c r="R30" s="13"/>
    </row>
    <row r="31">
      <c r="A31" s="9"/>
      <c r="B31" s="7"/>
      <c r="C31" s="7"/>
      <c r="D31" s="7"/>
      <c r="E31" s="7"/>
      <c r="F31" s="7"/>
      <c r="G31" s="17"/>
      <c r="H31" s="17"/>
      <c r="I31" s="7"/>
      <c r="J31" s="9"/>
      <c r="K31" s="7"/>
      <c r="L31" s="7"/>
      <c r="M31" s="15"/>
      <c r="N31" s="9"/>
      <c r="O31" s="11" t="s">
        <v>22</v>
      </c>
      <c r="P31" s="12" t="str">
        <f>IF(O31="YES",
"https://wa.me/?text=" &amp;
ENCODEURL(
IF(OR(L31="Pending",L31="In Progress"),
"⚠ *SERVICE ALERT – ATTENTION REQUIRED*" &amp; CHAR(10) &amp; CHAR(10),
"📢 *SERVICE STATUS UPDATE*" &amp; CHAR(10) &amp; CHAR(10)
) &amp;
"Service ID: " &amp; A31 &amp; CHAR(10) &amp;
"Customer: " &amp; B31 &amp; CHAR(10) &amp;
"Mobile: " &amp; C31 &amp; CHAR(10) &amp;
"Brand: " &amp; D31 &amp; CHAR(10) &amp;
"Problem: " &amp; F31 &amp; CHAR(10) &amp; CHAR(10) &amp;
"Received Date: " &amp; TEXT(G31,"dd-mmm-yyyy") &amp; CHAR(10) &amp;
"Expected Delivery Date: " &amp; TEXT(H31,"dd-mmm-yyyy") &amp; CHAR(10) &amp;
"Current Status: *" &amp; L31 &amp; "*" &amp; CHAR(10) &amp; CHAR(10) &amp;
IF(OR(L31="Pending",L31="In Progress"),
"⚠ Please follow up immediately.",
"✅ Service update for information."
) &amp; CHAR(10) &amp; CHAR(10) &amp;
"Balance Amount: ₹" &amp; K31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1" s="13" t="str">
        <f>IFERROR(__xludf.DUMMYFUNCTION("IF(REGEXMATCH(LOWER(L31),""ready""),
""https://wa.me/91""&amp;C31&amp;""?text="" &amp;
ENCODEURL(
""📢 *SERVICE READY – READY FOR COLLECTION*"" &amp; CHAR(10) &amp; CHAR(10) &amp;
""📌 *English*"" &amp; CHAR(10) &amp;
""Dear "" &amp; B31 &amp; "","" &amp; CHAR(10) &amp;
""Your watch service is comple"&amp;"ted and ready for collection."" &amp; CHAR(10) &amp;
""Brand: "" &amp; D31 &amp; CHAR(10) &amp;
""Problem: "" &amp; F31 &amp; CHAR(10) &amp;
""Received Date: "" &amp; TEXT(G31,""dd-mmm-yyyy"") &amp; CHAR(10) &amp;
""Ready Date: "" &amp; TEXT(H31,""dd-mmm-yyyy"") &amp; CHAR(10) &amp;
""Balance Amount: ₹"" &amp; K31"&amp;"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B31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D31 &amp; CHAR(10) &amp;
""பெறப்பட்ட தேதி: "" &amp; TEXT(G31,""dd-mmm-yyyy"") &amp; CHAR(10) &amp;
""தயார் தேதி: "" &amp; TEXT(H31,""dd-mmm-yyyy"") &amp; CHAR(10) &amp;
""மீதத் தொகை: ₹"" &amp; K31 &amp; CHAR(10) &amp; CHAR(10) &amp;
""🗺 *Google Map:* https://maps.app.goo.gl/D"&amp;"pPkfna7HQttxYXn9"" &amp; CHAR(10) &amp; CHAR(10) &amp;
""🙏 SMART TIMES SERVICE""
),
"""")
"),"")</f>
        <v/>
      </c>
      <c r="R31" s="13" t="str">
        <f>HYPERLINK(Q31,"🟢 SEND WHATSAPP")</f>
        <v>🟢 SEND WHATSAPP</v>
      </c>
    </row>
    <row r="32">
      <c r="A32" s="9"/>
      <c r="B32" s="9"/>
      <c r="C32" s="9"/>
      <c r="D32" s="7"/>
      <c r="E32" s="9"/>
      <c r="F32" s="9"/>
      <c r="G32" s="9"/>
      <c r="H32" s="9"/>
      <c r="I32" s="9"/>
      <c r="J32" s="9"/>
      <c r="K32" s="7"/>
      <c r="L32" s="7"/>
      <c r="M32" s="15"/>
      <c r="N32" s="9"/>
      <c r="O32" s="11"/>
      <c r="P32" s="13"/>
      <c r="Q32" s="13"/>
      <c r="R32" s="13"/>
    </row>
    <row r="33">
      <c r="A33" s="9"/>
      <c r="B33" s="7"/>
      <c r="C33" s="7"/>
      <c r="D33" s="7"/>
      <c r="E33" s="7"/>
      <c r="F33" s="7"/>
      <c r="G33" s="17"/>
      <c r="H33" s="17"/>
      <c r="I33" s="9"/>
      <c r="J33" s="9"/>
      <c r="K33" s="7"/>
      <c r="L33" s="7"/>
      <c r="M33" s="15"/>
      <c r="N33" s="9"/>
      <c r="O33" s="11" t="s">
        <v>22</v>
      </c>
      <c r="P33" s="12" t="str">
        <f>IF(O33="YES",
"https://wa.me/?text=" &amp;
ENCODEURL(
IF(OR(L33="Pending",L33="In Progress"),
"⚠ *SERVICE ALERT – ATTENTION REQUIRED*" &amp; CHAR(10) &amp; CHAR(10),
"📢 *SERVICE STATUS UPDATE*" &amp; CHAR(10) &amp; CHAR(10)
) &amp;
"Service ID: " &amp; A33 &amp; CHAR(10) &amp;
"Customer: " &amp; B33 &amp; CHAR(10) &amp;
"Mobile: " &amp; C33 &amp; CHAR(10) &amp;
"Brand: " &amp; D33 &amp; CHAR(10) &amp;
"Problem: " &amp; F33 &amp; CHAR(10) &amp; CHAR(10) &amp;
"Received Date: " &amp; TEXT(G33,"dd-mmm-yyyy") &amp; CHAR(10) &amp;
"Expected Delivery Date: " &amp; TEXT(H33,"dd-mmm-yyyy") &amp; CHAR(10) &amp;
"Current Status: *" &amp; L33 &amp; "*" &amp; CHAR(10) &amp; CHAR(10) &amp;
IF(OR(L33="Pending",L33="In Progress"),
"⚠ Please follow up immediately.",
"✅ Service update for information."
) &amp; CHAR(10) &amp; CHAR(10) &amp;
"Balance Amount: ₹" &amp; K33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3" s="13" t="str">
        <f>IFERROR(__xludf.DUMMYFUNCTION("IF(REGEXMATCH(LOWER(L33),""ready""),
""https://wa.me/91""&amp;C33&amp;""?text="" &amp;
ENCODEURL(
""📢 *SERVICE READY – READY FOR COLLECTION*"" &amp; CHAR(10) &amp; CHAR(10) &amp;
""📌 *English*"" &amp; CHAR(10) &amp;
""Dear "" &amp; B33 &amp; "","" &amp; CHAR(10) &amp;
""Your watch service is comple"&amp;"ted and ready for collection."" &amp; CHAR(10) &amp;
""Brand: "" &amp; D33 &amp; CHAR(10) &amp;
""Problem: "" &amp; F33 &amp; CHAR(10) &amp;
""Received Date: "" &amp; TEXT(G33,""dd-mmm-yyyy"") &amp; CHAR(10) &amp;
""Ready Date: "" &amp; TEXT(H33,""dd-mmm-yyyy"") &amp; CHAR(10) &amp;
""Balance Amount: ₹"" &amp; K33"&amp;"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B33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D33 &amp; CHAR(10) &amp;
""பெறப்பட்ட தேதி: "" &amp; TEXT(G33,""dd-mmm-yyyy"") &amp; CHAR(10) &amp;
""தயார் தேதி: "" &amp; TEXT(H33,""dd-mmm-yyyy"") &amp; CHAR(10) &amp;
""மீதத் தொகை: ₹"" &amp; K33 &amp; CHAR(10) &amp; CHAR(10) &amp;
""🗺 *Google Map:* https://maps.app.goo.gl/D"&amp;"pPkfna7HQttxYXn9"" &amp; CHAR(10) &amp; CHAR(10) &amp;
""🙏 SMART TIMES SERVICE""
),
"""")
"),"")</f>
        <v/>
      </c>
      <c r="R33" s="13" t="str">
        <f>HYPERLINK(Q33,"🟢 SEND WHATSAPP")</f>
        <v>🟢 SEND WHATSAPP</v>
      </c>
    </row>
    <row r="34">
      <c r="A34" s="7"/>
      <c r="B34" s="7"/>
      <c r="C34" s="7"/>
      <c r="D34" s="7"/>
      <c r="E34" s="7"/>
      <c r="F34" s="7"/>
      <c r="G34" s="17"/>
      <c r="H34" s="17"/>
      <c r="I34" s="9"/>
      <c r="J34" s="9"/>
      <c r="K34" s="7"/>
      <c r="L34" s="7"/>
      <c r="M34" s="15"/>
      <c r="N34" s="9"/>
      <c r="O34" s="11"/>
      <c r="P34" s="13"/>
      <c r="Q34" s="13"/>
      <c r="R34" s="13"/>
    </row>
    <row r="35">
      <c r="A35" s="9"/>
      <c r="B35" s="9"/>
      <c r="C35" s="9"/>
      <c r="D35" s="7"/>
      <c r="E35" s="9"/>
      <c r="F35" s="9"/>
      <c r="G35" s="9"/>
      <c r="H35" s="9"/>
      <c r="I35" s="9"/>
      <c r="J35" s="9"/>
      <c r="K35" s="7"/>
      <c r="L35" s="7"/>
      <c r="M35" s="15"/>
      <c r="N35" s="9"/>
      <c r="O35" s="11"/>
      <c r="P35" s="13"/>
      <c r="Q35" s="13"/>
      <c r="R35" s="13"/>
    </row>
    <row r="36">
      <c r="A36" s="9"/>
      <c r="B36" s="7"/>
      <c r="C36" s="7"/>
      <c r="D36" s="7"/>
      <c r="E36" s="7"/>
      <c r="F36" s="9"/>
      <c r="G36" s="17"/>
      <c r="H36" s="17"/>
      <c r="I36" s="9"/>
      <c r="J36" s="9"/>
      <c r="K36" s="7"/>
      <c r="L36" s="7"/>
      <c r="M36" s="15"/>
      <c r="N36" s="9"/>
      <c r="O36" s="11" t="s">
        <v>22</v>
      </c>
      <c r="P36" s="12" t="str">
        <f>IF(O36="YES",
"https://wa.me/?text=" &amp;
ENCODEURL(
IF(OR(L36="Pending",L36="In Progress"),
"⚠ *SERVICE ALERT – ATTENTION REQUIRED*" &amp; CHAR(10) &amp; CHAR(10),
"📢 *SERVICE STATUS UPDATE*" &amp; CHAR(10) &amp; CHAR(10)
) &amp;
"Service ID: " &amp; A36 &amp; CHAR(10) &amp;
"Customer: " &amp; B36 &amp; CHAR(10) &amp;
"Mobile: " &amp; C36 &amp; CHAR(10) &amp;
"Brand: " &amp; D36 &amp; CHAR(10) &amp;
"Problem: " &amp; F36 &amp; CHAR(10) &amp; CHAR(10) &amp;
"Received Date: " &amp; TEXT(G36,"dd-mmm-yyyy") &amp; CHAR(10) &amp;
"Expected Delivery Date: " &amp; TEXT(H36,"dd-mmm-yyyy") &amp; CHAR(10) &amp;
"Current Status: *" &amp; L36 &amp; "*" &amp; CHAR(10) &amp; CHAR(10) &amp;
IF(OR(L36="Pending",L36="In Progress"),
"⚠ Please follow up immediately.",
"✅ Service update for information."
) &amp; CHAR(10) &amp; CHAR(10) &amp;
"Balance Amount: ₹" &amp; K36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6" s="13" t="str">
        <f>IFERROR(__xludf.DUMMYFUNCTION("IF(REGEXMATCH(LOWER(L36),""ready""),
""https://wa.me/91""&amp;C36&amp;""?text="" &amp;
ENCODEURL(
""📢 *SERVICE READY – READY FOR COLLECTION*"" &amp; CHAR(10) &amp; CHAR(10) &amp;
""📌 *English*"" &amp; CHAR(10) &amp;
""Dear "" &amp; B36 &amp; "","" &amp; CHAR(10) &amp;
""Your watch service is comple"&amp;"ted and ready for collection."" &amp; CHAR(10) &amp;
""Brand: "" &amp; D36 &amp; CHAR(10) &amp;
""Problem: "" &amp; F36 &amp; CHAR(10) &amp;
""Received Date: "" &amp; TEXT(G36,""dd-mmm-yyyy"") &amp; CHAR(10) &amp;
""Ready Date: "" &amp; TEXT(H36,""dd-mmm-yyyy"") &amp; CHAR(10) &amp;
""Balance Amount: ₹"" &amp; K36"&amp;"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D36 &amp; CHAR(10) &amp;
""பெறப்பட்ட தேதி: "" &amp; TEXT(G36,""dd-mmm-yyyy"") &amp; CHAR(10) &amp;
""தயார் தேதி: "" &amp; TEXT(H36,""dd-mmm-yyyy"") &amp; CHAR(10) &amp;
""மீதத் தொகை: ₹"" &amp; K36 &amp; CHAR(10) &amp; CHAR(10) &amp;
""🗺 *Google Map:* https://maps.app.goo.gl/D"&amp;"pPkfna7HQttxYXn9"" &amp; CHAR(10) &amp; CHAR(10) &amp;
""🙏 SMART TIMES SERVICE""
),
"""")
"),"")</f>
        <v/>
      </c>
      <c r="R36" s="13" t="str">
        <f>HYPERLINK(Q36,"🟢 SEND WHATSAPP")</f>
        <v>🟢 SEND WHATSAPP</v>
      </c>
    </row>
    <row r="37">
      <c r="A37" s="9"/>
      <c r="B37" s="9"/>
      <c r="C37" s="9"/>
      <c r="D37" s="7"/>
      <c r="E37" s="9"/>
      <c r="F37" s="9"/>
      <c r="G37" s="9"/>
      <c r="H37" s="9"/>
      <c r="I37" s="9"/>
      <c r="J37" s="9"/>
      <c r="K37" s="7"/>
      <c r="L37" s="7"/>
      <c r="M37" s="15"/>
      <c r="N37" s="9"/>
      <c r="O37" s="11"/>
      <c r="P37" s="13"/>
      <c r="Q37" s="13"/>
      <c r="R37" s="13"/>
    </row>
    <row r="38">
      <c r="A38" s="9"/>
      <c r="B38" s="7"/>
      <c r="C38" s="7"/>
      <c r="D38" s="7"/>
      <c r="E38" s="7"/>
      <c r="F38" s="7"/>
      <c r="G38" s="17"/>
      <c r="H38" s="17"/>
      <c r="I38" s="9"/>
      <c r="J38" s="9"/>
      <c r="K38" s="7"/>
      <c r="L38" s="7"/>
      <c r="M38" s="15"/>
      <c r="N38" s="9"/>
      <c r="O38" s="11" t="s">
        <v>22</v>
      </c>
      <c r="P38" s="12" t="str">
        <f t="shared" ref="P38:P39" si="11">IF(O38="YES",
"https://wa.me/?text=" &amp;
ENCODEURL(
IF(OR(L38="Pending",L38="In Progress"),
"⚠ *SERVICE ALERT – ATTENTION REQUIRED*" &amp; CHAR(10) &amp; CHAR(10),
"📢 *SERVICE STATUS UPDATE*" &amp; CHAR(10) &amp; CHAR(10)
) &amp;
"Service ID: " &amp; A38 &amp; CHAR(10) &amp;
"Customer: " &amp; B38 &amp; CHAR(10) &amp;
"Mobile: " &amp; C38 &amp; CHAR(10) &amp;
"Brand: " &amp; D38 &amp; CHAR(10) &amp;
"Problem: " &amp; F38 &amp; CHAR(10) &amp; CHAR(10) &amp;
"Received Date: " &amp; TEXT(G38,"dd-mmm-yyyy") &amp; CHAR(10) &amp;
"Expected Delivery Date: " &amp; TEXT(H38,"dd-mmm-yyyy") &amp; CHAR(10) &amp;
"Current Status: *" &amp; L38 &amp; "*" &amp; CHAR(10) &amp; CHAR(10) &amp;
IF(OR(L38="Pending",L38="In Progress"),
"⚠ Please follow up immediately.",
"✅ Service update for information."
) &amp; CHAR(10) &amp; CHAR(10) &amp;
"Balance Amount: ₹" &amp; K38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8" s="13" t="str">
        <f>IFERROR(__xludf.DUMMYFUNCTION("IF(REGEXMATCH(LOWER(L38),""ready""),
""https://wa.me/91""&amp;C38&amp;""?text="" &amp;
ENCODEURL(
""📢 *SERVICE READY – READY FOR COLLECTION*"" &amp; CHAR(10) &amp; CHAR(10) &amp;
""📌 *English*"" &amp; CHAR(10) &amp;
""Dear "" &amp; B38 &amp; "","" &amp; CHAR(10) &amp;
""Your watch service is comple"&amp;"ted and ready for collection."" &amp; CHAR(10) &amp;
""Brand: "" &amp; D38 &amp; CHAR(10) &amp;
""Problem: "" &amp; F38 &amp; CHAR(10) &amp;
""Received Date: "" &amp; TEXT(G38,""dd-mmm-yyyy"") &amp; CHAR(10) &amp;
""Ready Date: "" &amp; TEXT(H38,""dd-mmm-yyyy"") &amp; CHAR(10) &amp;
""Balance Amount: ₹"" &amp; K38"&amp;"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B38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D38 &amp; CHAR(10) &amp;
""பெறப்பட்ட தேதி: "" &amp; TEXT(G38,""dd-mmm-yyyy"") &amp; CHAR(10) &amp;
""தயார் தேதி: "" &amp; TEXT(H38,""dd-mmm-yyyy"") &amp; CHAR(10) &amp;
""மீதத் தொகை: ₹"" &amp; K38 &amp; CHAR(10) &amp; CHAR(10) &amp;
""🗺 *Google Map:* https://maps.app.goo.gl/D"&amp;"pPkfna7HQttxYXn9"" &amp; CHAR(10) &amp; CHAR(10) &amp;
""🙏 SMART TIMES SERVICE""
),
"""")
"),"")</f>
        <v/>
      </c>
      <c r="R38" s="13" t="str">
        <f t="shared" ref="R38:R39" si="12">HYPERLINK(Q38,"🟢 SEND WHATSAPP")</f>
        <v>🟢 SEND WHATSAPP</v>
      </c>
    </row>
    <row r="39">
      <c r="A39" s="9"/>
      <c r="B39" s="7"/>
      <c r="C39" s="7"/>
      <c r="D39" s="7"/>
      <c r="E39" s="7"/>
      <c r="F39" s="7"/>
      <c r="G39" s="17"/>
      <c r="H39" s="17"/>
      <c r="I39" s="9"/>
      <c r="J39" s="9"/>
      <c r="K39" s="7"/>
      <c r="L39" s="7"/>
      <c r="M39" s="15"/>
      <c r="N39" s="9"/>
      <c r="O39" s="11" t="s">
        <v>22</v>
      </c>
      <c r="P39" s="12" t="str">
        <f t="shared" si="11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39" s="13" t="str">
        <f>IFERROR(__xludf.DUMMYFUNCTION("IF(REGEXMATCH(LOWER(L39),""ready""),
""https://wa.me/91""&amp;C39&amp;""?text="" &amp;
ENCODEURL(
""📢 *SERVICE READY – READY FOR COLLECTION*"" &amp; CHAR(10) &amp; CHAR(10) &amp;
""📌 *English*"" &amp; CHAR(10) &amp;
""Dear "" &amp; B39 &amp; "","" &amp; CHAR(10) &amp;
""Your watch service is comple"&amp;"ted and ready for collection."" &amp; CHAR(10) &amp;
""Brand: "" &amp; D39 &amp; CHAR(10) &amp;
""Problem: "" &amp; F39 &amp; CHAR(10) &amp;
""Received Date: "" &amp; TEXT(G39,""dd-mmm-yyyy"") &amp; CHAR(10) &amp;
""Ready Date: "" &amp; TEXT(H39,""dd-mmm-yyyy"") &amp; CHAR(10) &amp;
""Balance Amount: ₹"" &amp; K39"&amp;"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B39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D39 &amp; CHAR(10) &amp;
""பெறப்பட்ட தேதி: "" &amp; TEXT(G39,""dd-mmm-yyyy"") &amp; CHAR(10) &amp;
""தயார் தேதி: "" &amp; TEXT(H39,""dd-mmm-yyyy"") &amp; CHAR(10) &amp;
""மீதத் தொகை: ₹"" &amp; K39 &amp; CHAR(10) &amp; CHAR(10) &amp;
""🗺 *Google Map:* https://maps.app.goo.gl/D"&amp;"pPkfna7HQttxYXn9"" &amp; CHAR(10) &amp; CHAR(10) &amp;
""🙏 SMART TIMES SERVICE""
),
"""")
"),"")</f>
        <v/>
      </c>
      <c r="R39" s="13" t="str">
        <f t="shared" si="12"/>
        <v>🟢 SEND WHATSAPP</v>
      </c>
    </row>
    <row r="40">
      <c r="A40" s="9"/>
      <c r="B40" s="9"/>
      <c r="C40" s="9"/>
      <c r="D40" s="7"/>
      <c r="E40" s="9"/>
      <c r="F40" s="9"/>
      <c r="G40" s="9"/>
      <c r="H40" s="9"/>
      <c r="I40" s="9"/>
      <c r="J40" s="9"/>
      <c r="K40" s="9"/>
      <c r="L40" s="7"/>
      <c r="M40" s="15"/>
      <c r="N40" s="9"/>
      <c r="O40" s="11"/>
      <c r="P40" s="13"/>
      <c r="Q40" s="13"/>
      <c r="R40" s="13"/>
    </row>
    <row r="41">
      <c r="A41" s="7"/>
      <c r="B41" s="7"/>
      <c r="C41" s="7"/>
      <c r="D41" s="7"/>
      <c r="E41" s="7"/>
      <c r="F41" s="7"/>
      <c r="G41" s="17"/>
      <c r="H41" s="17"/>
      <c r="I41" s="9"/>
      <c r="J41" s="9"/>
      <c r="K41" s="9"/>
      <c r="L41" s="7"/>
      <c r="M41" s="15"/>
      <c r="N41" s="9"/>
      <c r="O41" s="11"/>
      <c r="P41" s="13"/>
      <c r="Q41" s="13"/>
      <c r="R41" s="13"/>
    </row>
    <row r="42">
      <c r="A42" s="9"/>
      <c r="B42" s="7"/>
      <c r="C42" s="7"/>
      <c r="D42" s="7"/>
      <c r="E42" s="7"/>
      <c r="F42" s="7"/>
      <c r="G42" s="17"/>
      <c r="H42" s="17"/>
      <c r="I42" s="9"/>
      <c r="J42" s="9"/>
      <c r="K42" s="9"/>
      <c r="L42" s="7"/>
      <c r="M42" s="15"/>
      <c r="N42" s="9"/>
      <c r="O42" s="11" t="s">
        <v>22</v>
      </c>
      <c r="P42" s="12" t="str">
        <f>IF(O42="YES",
"https://wa.me/?text=" &amp;
ENCODEURL(
IF(OR(L42="Pending",L42="In Progress"),
"⚠ *SERVICE ALERT – ATTENTION REQUIRED*" &amp; CHAR(10) &amp; CHAR(10),
"📢 *SERVICE STATUS UPDATE*" &amp; CHAR(10) &amp; CHAR(10)
) &amp;
"Service ID: " &amp; A42 &amp; CHAR(10) &amp;
"Customer: " &amp; B42 &amp; CHAR(10) &amp;
"Mobile: " &amp; C42 &amp; CHAR(10) &amp;
"Brand: " &amp; D42 &amp; CHAR(10) &amp;
"Problem: " &amp; F42 &amp; CHAR(10) &amp; CHAR(10) &amp;
"Received Date: " &amp; TEXT(G42,"dd-mmm-yyyy") &amp; CHAR(10) &amp;
"Expected Delivery Date: " &amp; TEXT(H42,"dd-mmm-yyyy") &amp; CHAR(10) &amp;
"Current Status: *" &amp; L42 &amp; "*" &amp; CHAR(10) &amp; CHAR(10) &amp;
IF(OR(L42="Pending",L42="In Progress"),
"⚠ Please follow up immediately.",
"✅ Service update for information."
) &amp; CHAR(10) &amp; CHAR(10) &amp;
"Balance Amount: ₹" &amp; K42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2" s="13" t="str">
        <f>IFERROR(__xludf.DUMMYFUNCTION("IF(REGEXMATCH(LOWER(L42),""ready""),
""https://wa.me/91""&amp;C42&amp;""?text="" &amp;
ENCODEURL(
""📢 *SERVICE READY – READY FOR COLLECTION*"" &amp; CHAR(10) &amp; CHAR(10) &amp;
""📌 *English*"" &amp; CHAR(10) &amp;
""Dear "" &amp; B42 &amp; "","" &amp; CHAR(10) &amp;
""Your watch service is comple"&amp;"ted and ready for collection."" &amp; CHAR(10) &amp;
""Brand: "" &amp; D42 &amp; CHAR(10) &amp;
""Problem: "" &amp; F42 &amp; CHAR(10) &amp;
""Received Date: "" &amp; TEXT(G42,""dd-mmm-yyyy"") &amp; CHAR(10) &amp;
""Ready Date: "" &amp; TEXT(H42,""dd-mmm-yyyy"") &amp; CHAR(10) &amp;
""Balance Amount: ₹"" &amp; K42"&amp;"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B42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D42 &amp; CHAR(10) &amp;
""பெறப்பட்ட தேதி: "" &amp; TEXT(G42,""dd-mmm-yyyy"") &amp; CHAR(10) &amp;
""தயார் தேதி: "" &amp; TEXT(H42,""dd-mmm-yyyy"") &amp; CHAR(10) &amp;
""மீதத் தொகை: ₹"" &amp; K42 &amp; CHAR(10) &amp; CHAR(10) &amp;
""🗺 *Google Map:* https://maps.app.goo.gl/D"&amp;"pPkfna7HQttxYXn9"" &amp; CHAR(10) &amp; CHAR(10) &amp;
""🙏 SMART TIMES SERVICE""
),
"""")
"),"")</f>
        <v/>
      </c>
      <c r="R42" s="13" t="str">
        <f>HYPERLINK(Q42,"🟢 SEND WHATSAPP")</f>
        <v>🟢 SEND WHATSAPP</v>
      </c>
    </row>
    <row r="43">
      <c r="A43" s="9"/>
      <c r="B43" s="9"/>
      <c r="C43" s="9"/>
      <c r="D43" s="7"/>
      <c r="E43" s="9"/>
      <c r="F43" s="9"/>
      <c r="G43" s="9"/>
      <c r="H43" s="9"/>
      <c r="I43" s="9"/>
      <c r="J43" s="9"/>
      <c r="K43" s="9"/>
      <c r="L43" s="7"/>
      <c r="M43" s="15"/>
      <c r="N43" s="9"/>
      <c r="O43" s="11"/>
      <c r="P43" s="13"/>
      <c r="Q43" s="13"/>
      <c r="R43" s="13"/>
    </row>
    <row r="44">
      <c r="A44" s="9"/>
      <c r="B44" s="9"/>
      <c r="C44" s="9"/>
      <c r="D44" s="7"/>
      <c r="E44" s="9"/>
      <c r="F44" s="9"/>
      <c r="G44" s="9"/>
      <c r="H44" s="9"/>
      <c r="I44" s="9"/>
      <c r="J44" s="9"/>
      <c r="K44" s="9"/>
      <c r="L44" s="7"/>
      <c r="M44" s="15"/>
      <c r="N44" s="9"/>
      <c r="O44" s="11" t="s">
        <v>22</v>
      </c>
      <c r="P44" s="12" t="str">
        <f t="shared" ref="P44:P46" si="13">IF(O44="YES",
"https://wa.me/?text=" &amp;
ENCODEURL(
IF(OR(L44="Pending",L44="In Progress"),
"⚠ *SERVICE ALERT – ATTENTION REQUIRED*" &amp; CHAR(10) &amp; CHAR(10),
"📢 *SERVICE STATUS UPDATE*" &amp; CHAR(10) &amp; CHAR(10)
) &amp;
"Service ID: " &amp; A44 &amp; CHAR(10) &amp;
"Customer: " &amp; B44 &amp; CHAR(10) &amp;
"Mobile: " &amp; C44 &amp; CHAR(10) &amp;
"Brand: " &amp; D44 &amp; CHAR(10) &amp;
"Problem: " &amp; F44 &amp; CHAR(10) &amp; CHAR(10) &amp;
"Received Date: " &amp; TEXT(G44,"dd-mmm-yyyy") &amp; CHAR(10) &amp;
"Expected Delivery Date: " &amp; TEXT(H44,"dd-mmm-yyyy") &amp; CHAR(10) &amp;
"Current Status: *" &amp; L44 &amp; "*" &amp; CHAR(10) &amp; CHAR(10) &amp;
IF(OR(L44="Pending",L44="In Progress"),
"⚠ Please follow up immediately.",
"✅ Service update for information."
) &amp; CHAR(10) &amp; CHAR(10) &amp;
"Balance Amount: ₹" &amp; K44 &amp; CHAR(10) &amp; CHAR(10) &amp;
"— SMART TIMES SERVICE"
),
"")
</f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4" s="13" t="str">
        <f>IFERROR(__xludf.DUMMYFUNCTION("IF(REGEXMATCH(LOWER(L44),""ready""),
""https://wa.me/91""&amp;C44&amp;""?text="" &amp;
ENCODEURL(
""📢 *SERVICE READY – READY FOR COLLECTION*"" &amp; CHAR(10) &amp; CHAR(10) &amp;
""📌 *English*"" &amp; CHAR(10) &amp;
""Dear "" &amp; B44 &amp; "","" &amp; CHAR(10) &amp;
""Your watch service is comple"&amp;"ted and ready for collection."" &amp; CHAR(10) &amp;
""Brand: "" &amp; D44 &amp; CHAR(10) &amp;
""Problem: "" &amp; F44 &amp; CHAR(10) &amp;
""Received Date: "" &amp; TEXT(G44,""dd-mmm-yyyy"") &amp; CHAR(10) &amp;
""Ready Date: "" &amp; TEXT(H44,""dd-mmm-yyyy"") &amp; CHAR(10) &amp;
""Balance Amount: ₹"" &amp; K44"&amp;"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B44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D44 &amp; CHAR(10) &amp;
""பெறப்பட்ட தேதி: "" &amp; TEXT(G44,""dd-mmm-yyyy"") &amp; CHAR(10) &amp;
""தயார் தேதி: "" &amp; TEXT(H44,""dd-mmm-yyyy"") &amp; CHAR(10) &amp;
""மீதத் தொகை: ₹"" &amp; K44 &amp; CHAR(10) &amp; CHAR(10) &amp;
""🗺 *Google Map:* https://maps.app.goo.gl/D"&amp;"pPkfna7HQttxYXn9"" &amp; CHAR(10) &amp; CHAR(10) &amp;
""🙏 SMART TIMES SERVICE""
),
"""")
"),"")</f>
        <v/>
      </c>
      <c r="R44" s="13" t="str">
        <f t="shared" ref="R44:R46" si="14">HYPERLINK(Q44,"🟢 SEND WHATSAPP")</f>
        <v>🟢 SEND WHATSAPP</v>
      </c>
    </row>
    <row r="45">
      <c r="A45" s="9"/>
      <c r="B45" s="9"/>
      <c r="C45" s="9"/>
      <c r="D45" s="7"/>
      <c r="E45" s="9"/>
      <c r="F45" s="9"/>
      <c r="G45" s="9"/>
      <c r="H45" s="9"/>
      <c r="I45" s="9"/>
      <c r="J45" s="9"/>
      <c r="K45" s="9"/>
      <c r="L45" s="7"/>
      <c r="M45" s="15"/>
      <c r="N45" s="9"/>
      <c r="O45" s="11" t="s">
        <v>22</v>
      </c>
      <c r="P45" s="12" t="str">
        <f t="shared" si="13"/>
        <v>https://wa.me/?text=%F0%9F%93%A2%20%2ASERVICE%20STATUS%20UPDATE%2A%0A%0AService%20ID%3A%20%0ACustomer%3A%20%0AMobile%3A%20%0ABrand%3A%20%0AProblem%3A%20%0A%0AReceived%20Date%3A%2030-Dec-1899%0AExpected%20Delivery%20Date%3A%2030-Dec-1899%0ACurrent%20Status%3A%20%2A%2A%0A%0A%E2%9C%85%20Service%20update%20for%20information.%0A%0ABalance%20Amount%3A%20%E2%82%B9%0A%0A%E2%80%94%20SMART%20TIMES%20SERVICE</v>
      </c>
      <c r="Q45" s="13" t="str">
        <f>IFERROR(__xludf.DUMMYFUNCTION("IF(REGEXMATCH(LOWER(L45),""ready""),
""https://wa.me/91""&amp;C45&amp;""?text="" &amp;
ENCODEURL(
""📢 *SERVICE READY – READY FOR COLLECTION*"" &amp; CHAR(10) &amp; CHAR(10) &amp;
""📌 *English*"" &amp; CHAR(10) &amp;
""Dear "" &amp; B45 &amp; "","" &amp; CHAR(10) &amp;
""Your watch service is comple"&amp;"ted and ready for collection."" &amp; CHAR(10) &amp;
""Brand: "" &amp; D45 &amp; CHAR(10) &amp;
""Problem: "" &amp; F45 &amp; CHAR(10) &amp;
""Received Date: "" &amp; TEXT(G45,""dd-mmm-yyyy"") &amp; CHAR(10) &amp;
""Ready Date: "" &amp; TEXT(H45,""dd-mmm-yyyy"") &amp; CHAR(10) &amp;
""Balance Amount: ₹"" &amp; K45"&amp;"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B45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D45 &amp; CHAR(10) &amp;
""பெறப்பட்ட தேதி: "" &amp; TEXT(G45,""dd-mmm-yyyy"") &amp; CHAR(10) &amp;
""தயார் தேதி: "" &amp; TEXT(H45,""dd-mmm-yyyy"") &amp; CHAR(10) &amp;
""மீதத் தொகை: ₹"" &amp; K45 &amp; CHAR(10) &amp; CHAR(10) &amp;
""🗺 *Google Map:* https://maps.app.goo.gl/D"&amp;"pPkfna7HQttxYXn9"" &amp; CHAR(10) &amp; CHAR(10) &amp;
""🙏 SMART TIMES SERVICE""
),
"""")
"),"")</f>
        <v/>
      </c>
      <c r="R45" s="13" t="str">
        <f t="shared" si="14"/>
        <v>🟢 SEND WHATSAPP</v>
      </c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N46" s="9"/>
      <c r="O46" s="13"/>
      <c r="P46" s="13" t="str">
        <f t="shared" si="13"/>
        <v/>
      </c>
      <c r="Q46" s="13" t="str">
        <f>IFERROR(__xludf.DUMMYFUNCTION("IF(REGEXMATCH(LOWER(L46),""ready""),
""https://wa.me/91""&amp;C46&amp;""?text="" &amp;
ENCODEURL(
""📢 *SERVICE READY – READY FOR COLLECTION*"" &amp; CHAR(10) &amp; CHAR(10) &amp;
""📌 *English*"" &amp; CHAR(10) &amp;
""Dear "" &amp; B46 &amp; "","" &amp; CHAR(10) &amp;
""Your watch service is comple"&amp;"ted and ready for collection."" &amp; CHAR(10) &amp;
""Brand: "" &amp; D46 &amp; CHAR(10) &amp;
""Problem: "" &amp; F46 &amp; CHAR(10) &amp;
""Received Date: "" &amp; TEXT(G46,""dd-mmm-yyyy"") &amp; CHAR(10) &amp;
""Ready Date: "" &amp; TEXT(H46,""dd-mmm-yyyy"") &amp; CHAR(10) &amp;
""Balance Amount: ₹"" &amp; K46"&amp;" &amp; CHAR(10) &amp; CHAR(10) &amp;
""📍 *Shop Address:*"" &amp; CHAR(10) &amp;
""SMART TIMES,"" &amp; CHAR(10) &amp;
""8/107, Pennagaram Main Road,"" &amp; CHAR(10) &amp;
""Next to R.C Church,"" &amp; CHAR(10) &amp;
""Dharmapuri – 636701"" &amp; CHAR(10) &amp; CHAR(10) &amp;
""🗺 *Google Map:* https://maps."&amp;"app.goo.gl/DpPkfna7HQttxYXn9"" &amp; CHAR(10) &amp; CHAR(10) &amp;
""📌 *தமிழ்*"" &amp; CHAR(10) &amp;
""வணக்கம் "" &amp; B46 &amp; "","" &amp; CHAR(10) &amp;
""உங்கள் கடிகார சர்வீஸ் முடிந்து, பெற்றுக்கொள்ள தயாராக உள்ளது."" &amp; CHAR(10) &amp;
""தயவுசெய்து கடைக்கு வந்து பெற்றுக்கொள்ளவும்."" &amp; CHA"&amp;"R(10) &amp;
""பிராண்ட்: "" &amp; D46 &amp; CHAR(10) &amp;
""பெறப்பட்ட தேதி: "" &amp; TEXT(G46,""dd-mmm-yyyy"") &amp; CHAR(10) &amp;
""தயார் தேதி: "" &amp; TEXT(H46,""dd-mmm-yyyy"") &amp; CHAR(10) &amp;
""மீதத் தொகை: ₹"" &amp; K46 &amp; CHAR(10) &amp; CHAR(10) &amp;
""🗺 *Google Map:* https://maps.app.goo.gl/D"&amp;"pPkfna7HQttxYXn9"" &amp; CHAR(10) &amp; CHAR(10) &amp;
""🙏 SMART TIMES SERVICE""
),
"""")
"),"")</f>
        <v/>
      </c>
      <c r="R46" s="13" t="str">
        <f t="shared" si="14"/>
        <v>🟢 SEND WHATSAPP</v>
      </c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  <row r="1001">
      <c r="M1001" s="20"/>
    </row>
    <row r="1002">
      <c r="M1002" s="20"/>
    </row>
    <row r="1003">
      <c r="M1003" s="20"/>
    </row>
    <row r="1004">
      <c r="M1004" s="20"/>
    </row>
    <row r="1005">
      <c r="M1005" s="20"/>
    </row>
    <row r="1006">
      <c r="M1006" s="20"/>
    </row>
    <row r="1007">
      <c r="M1007" s="20"/>
    </row>
    <row r="1008">
      <c r="M1008" s="20"/>
    </row>
    <row r="1009">
      <c r="M1009" s="20"/>
    </row>
    <row r="1010">
      <c r="M1010" s="20"/>
    </row>
    <row r="1011">
      <c r="M1011" s="20"/>
    </row>
  </sheetData>
  <autoFilter ref="$L$1:$L$1011"/>
  <dataValidations>
    <dataValidation type="list" allowBlank="1" showErrorMessage="1" sqref="D2:D3 D5:D8 D10:D12 D14:D16 D18:D21 D23 D25:D29 D31 D33:D34 D36 D38:D39 D41:D42 D44:D45">
      <formula1>"TITAN,SONATA,FASTRACK,TITAN RAGA,TIMEX,LENCO,CASIO\RADO,OTHER WATCHES,WALL CLOCK,SMART WATCH"</formula1>
    </dataValidation>
    <dataValidation type="list" allowBlank="1" showErrorMessage="1" sqref="L2:L3 L5:L8 L10:L12 L14:L16 L18:L21 L23 L25:L29 L31 L33:L34 L36 L38:L39 L41:L42 L44:L45">
      <formula1>"Pending ,In Progress ,Ready,Delivered,Returned"</formula1>
    </dataValidation>
    <dataValidation type="list" allowBlank="1" showErrorMessage="1" sqref="O2:O3 O5:O7 O10:O12 O14:O16 O18:O21 O23 O25:O29 O31 O33:O34 O36 O38:O39 O41:O42 O44:O45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>
        <f>IFERROR(__xludf.DUMMYFUNCTION("QUERY({
'JAN-26'!A2:M1513;
'JUL-26'!A2:M1513;
'AUG-26'!A2:M1513;
'SEP-26'!A2:M1513;
'OCT-26'!A2:M1513;
'NOV-26'!A2:M1513;
'DEC-26'!A2:M1513
},""select * where Col1 is not null"",0)"),2483.0)</f>
        <v>2483</v>
      </c>
      <c r="B1" s="14" t="str">
        <f>IFERROR(__xludf.DUMMYFUNCTION("""COMPUTED_VALUE"""),"MR.MUTHIYAN")</f>
        <v>MR.MUTHIYAN</v>
      </c>
      <c r="C1" s="14">
        <f>IFERROR(__xludf.DUMMYFUNCTION("""COMPUTED_VALUE"""),9.952302155E9)</f>
        <v>9952302155</v>
      </c>
      <c r="D1" s="14" t="str">
        <f>IFERROR(__xludf.DUMMYFUNCTION("""COMPUTED_VALUE"""),"TITAN RAGA")</f>
        <v>TITAN RAGA</v>
      </c>
      <c r="E1" s="14" t="str">
        <f>IFERROR(__xludf.DUMMYFUNCTION("""COMPUTED_VALUE"""),"2543(SM\L)")</f>
        <v>2543(SM\L)</v>
      </c>
      <c r="F1" s="14" t="str">
        <f>IFERROR(__xludf.DUMMYFUNCTION("""COMPUTED_VALUE"""),"MG")</f>
        <v>MG</v>
      </c>
      <c r="G1" s="21">
        <f>IFERROR(__xludf.DUMMYFUNCTION("""COMPUTED_VALUE"""),46023.0)</f>
        <v>46023</v>
      </c>
      <c r="H1" s="21">
        <f>IFERROR(__xludf.DUMMYFUNCTION("""COMPUTED_VALUE"""),46026.0)</f>
        <v>46026</v>
      </c>
      <c r="I1" s="14">
        <f>IFERROR(__xludf.DUMMYFUNCTION("""COMPUTED_VALUE"""),100.0)</f>
        <v>100</v>
      </c>
      <c r="J1" s="14"/>
      <c r="K1" s="14"/>
      <c r="L1" s="14" t="str">
        <f>IFERROR(__xludf.DUMMYFUNCTION("""COMPUTED_VALUE"""),"Delivered")</f>
        <v>Delivered</v>
      </c>
      <c r="M1" s="20">
        <f>IFERROR(__xludf.DUMMYFUNCTION("""COMPUTED_VALUE"""),46030.0)</f>
        <v>46030</v>
      </c>
    </row>
    <row r="2">
      <c r="A2" s="14">
        <f>IFERROR(__xludf.DUMMYFUNCTION("""COMPUTED_VALUE"""),2484.0)</f>
        <v>2484</v>
      </c>
      <c r="B2" s="14" t="str">
        <f>IFERROR(__xludf.DUMMYFUNCTION("""COMPUTED_VALUE"""),"MRS.SHANTHI")</f>
        <v>MRS.SHANTHI</v>
      </c>
      <c r="C2" s="14">
        <f>IFERROR(__xludf.DUMMYFUNCTION("""COMPUTED_VALUE"""),8.015336933E9)</f>
        <v>8015336933</v>
      </c>
      <c r="D2" s="14" t="str">
        <f>IFERROR(__xludf.DUMMYFUNCTION("""COMPUTED_VALUE"""),"TITAN")</f>
        <v>TITAN</v>
      </c>
      <c r="E2" s="14" t="str">
        <f>IFERROR(__xludf.DUMMYFUNCTION("""COMPUTED_VALUE"""),"2594(YM\G)")</f>
        <v>2594(YM\G)</v>
      </c>
      <c r="F2" s="14" t="str">
        <f>IFERROR(__xludf.DUMMYFUNCTION("""COMPUTED_VALUE"""),"SERVICE")</f>
        <v>SERVICE</v>
      </c>
      <c r="G2" s="21">
        <f>IFERROR(__xludf.DUMMYFUNCTION("""COMPUTED_VALUE"""),46023.0)</f>
        <v>46023</v>
      </c>
      <c r="H2" s="21">
        <f>IFERROR(__xludf.DUMMYFUNCTION("""COMPUTED_VALUE"""),46026.0)</f>
        <v>46026</v>
      </c>
      <c r="I2" s="14">
        <f>IFERROR(__xludf.DUMMYFUNCTION("""COMPUTED_VALUE"""),350.0)</f>
        <v>350</v>
      </c>
      <c r="J2" s="14">
        <f>IFERROR(__xludf.DUMMYFUNCTION("""COMPUTED_VALUE"""),0.0)</f>
        <v>0</v>
      </c>
      <c r="K2" s="14">
        <f>IFERROR(__xludf.DUMMYFUNCTION("""COMPUTED_VALUE"""),350.0)</f>
        <v>350</v>
      </c>
      <c r="L2" s="14" t="str">
        <f>IFERROR(__xludf.DUMMYFUNCTION("""COMPUTED_VALUE"""),"Ready")</f>
        <v>Ready</v>
      </c>
      <c r="M2" s="20"/>
    </row>
    <row r="3">
      <c r="A3" s="14">
        <f>IFERROR(__xludf.DUMMYFUNCTION("""COMPUTED_VALUE"""),2485.0)</f>
        <v>2485</v>
      </c>
      <c r="B3" s="14" t="str">
        <f>IFERROR(__xludf.DUMMYFUNCTION("""COMPUTED_VALUE"""),"MR.KRISHNAN")</f>
        <v>MR.KRISHNAN</v>
      </c>
      <c r="C3" s="14">
        <f>IFERROR(__xludf.DUMMYFUNCTION("""COMPUTED_VALUE"""),9.787723793E9)</f>
        <v>9787723793</v>
      </c>
      <c r="D3" s="14" t="str">
        <f>IFERROR(__xludf.DUMMYFUNCTION("""COMPUTED_VALUE"""),"OTHER WATCHES")</f>
        <v>OTHER WATCHES</v>
      </c>
      <c r="E3" s="14" t="str">
        <f>IFERROR(__xludf.DUMMYFUNCTION("""COMPUTED_VALUE"""),"LAMEX (YM\L)")</f>
        <v>LAMEX (YM\L)</v>
      </c>
      <c r="F3" s="14" t="str">
        <f>IFERROR(__xludf.DUMMYFUNCTION("""COMPUTED_VALUE"""),"SERVIVE")</f>
        <v>SERVIVE</v>
      </c>
      <c r="G3" s="21">
        <f>IFERROR(__xludf.DUMMYFUNCTION("""COMPUTED_VALUE"""),46024.0)</f>
        <v>46024</v>
      </c>
      <c r="H3" s="21">
        <f>IFERROR(__xludf.DUMMYFUNCTION("""COMPUTED_VALUE"""),46027.0)</f>
        <v>46027</v>
      </c>
      <c r="I3" s="14">
        <f>IFERROR(__xludf.DUMMYFUNCTION("""COMPUTED_VALUE"""),250.0)</f>
        <v>250</v>
      </c>
      <c r="J3" s="14"/>
      <c r="K3" s="14">
        <f>IFERROR(__xludf.DUMMYFUNCTION("""COMPUTED_VALUE"""),250.0)</f>
        <v>250</v>
      </c>
      <c r="L3" s="14" t="str">
        <f>IFERROR(__xludf.DUMMYFUNCTION("""COMPUTED_VALUE"""),"Delivered")</f>
        <v>Delivered</v>
      </c>
      <c r="M3" s="20"/>
    </row>
    <row r="4">
      <c r="A4" s="14">
        <f>IFERROR(__xludf.DUMMYFUNCTION("""COMPUTED_VALUE"""),2486.0)</f>
        <v>2486</v>
      </c>
      <c r="B4" s="14" t="str">
        <f>IFERROR(__xludf.DUMMYFUNCTION("""COMPUTED_VALUE"""),"MR.VENKAT RAMAN")</f>
        <v>MR.VENKAT RAMAN</v>
      </c>
      <c r="C4" s="14">
        <f>IFERROR(__xludf.DUMMYFUNCTION("""COMPUTED_VALUE"""),9.4434635574E10)</f>
        <v>94434635574</v>
      </c>
      <c r="D4" s="14" t="str">
        <f>IFERROR(__xludf.DUMMYFUNCTION("""COMPUTED_VALUE"""),"TITAN")</f>
        <v>TITAN</v>
      </c>
      <c r="E4" s="14" t="str">
        <f>IFERROR(__xludf.DUMMYFUNCTION("""COMPUTED_VALUE"""),"1163(BM\G)")</f>
        <v>1163(BM\G)</v>
      </c>
      <c r="F4" s="14" t="str">
        <f>IFERROR(__xludf.DUMMYFUNCTION("""COMPUTED_VALUE"""),"SERVIVE")</f>
        <v>SERVIVE</v>
      </c>
      <c r="G4" s="21">
        <f>IFERROR(__xludf.DUMMYFUNCTION("""COMPUTED_VALUE"""),46024.0)</f>
        <v>46024</v>
      </c>
      <c r="H4" s="21">
        <f>IFERROR(__xludf.DUMMYFUNCTION("""COMPUTED_VALUE"""),46027.0)</f>
        <v>46027</v>
      </c>
      <c r="I4" s="14">
        <f>IFERROR(__xludf.DUMMYFUNCTION("""COMPUTED_VALUE"""),350.0)</f>
        <v>350</v>
      </c>
      <c r="J4" s="14"/>
      <c r="K4" s="14">
        <f>IFERROR(__xludf.DUMMYFUNCTION("""COMPUTED_VALUE"""),350.0)</f>
        <v>350</v>
      </c>
      <c r="L4" s="14" t="str">
        <f>IFERROR(__xludf.DUMMYFUNCTION("""COMPUTED_VALUE"""),"Delivered")</f>
        <v>Delivered</v>
      </c>
      <c r="M4" s="20"/>
    </row>
    <row r="5">
      <c r="A5" s="14">
        <f>IFERROR(__xludf.DUMMYFUNCTION("""COMPUTED_VALUE"""),2487.0)</f>
        <v>2487</v>
      </c>
      <c r="B5" s="14" t="str">
        <f>IFERROR(__xludf.DUMMYFUNCTION("""COMPUTED_VALUE"""),"MR.RAJABOOPATHI")</f>
        <v>MR.RAJABOOPATHI</v>
      </c>
      <c r="C5" s="14">
        <f>IFERROR(__xludf.DUMMYFUNCTION("""COMPUTED_VALUE"""),9.487038702E9)</f>
        <v>9487038702</v>
      </c>
      <c r="D5" s="14" t="str">
        <f>IFERROR(__xludf.DUMMYFUNCTION("""COMPUTED_VALUE"""),"OTHER WATCHES")</f>
        <v>OTHER WATCHES</v>
      </c>
      <c r="E5" s="14" t="str">
        <f>IFERROR(__xludf.DUMMYFUNCTION("""COMPUTED_VALUE"""),"INDIA POST(SL\G)")</f>
        <v>INDIA POST(SL\G)</v>
      </c>
      <c r="F5" s="14" t="str">
        <f>IFERROR(__xludf.DUMMYFUNCTION("""COMPUTED_VALUE"""),"RE SERVICE")</f>
        <v>RE SERVICE</v>
      </c>
      <c r="G5" s="21">
        <f>IFERROR(__xludf.DUMMYFUNCTION("""COMPUTED_VALUE"""),46024.0)</f>
        <v>46024</v>
      </c>
      <c r="H5" s="21">
        <f>IFERROR(__xludf.DUMMYFUNCTION("""COMPUTED_VALUE"""),46026.0)</f>
        <v>46026</v>
      </c>
      <c r="I5" s="14">
        <f>IFERROR(__xludf.DUMMYFUNCTION("""COMPUTED_VALUE"""),0.0)</f>
        <v>0</v>
      </c>
      <c r="J5" s="14"/>
      <c r="K5" s="14">
        <f>IFERROR(__xludf.DUMMYFUNCTION("""COMPUTED_VALUE"""),0.0)</f>
        <v>0</v>
      </c>
      <c r="L5" s="14" t="str">
        <f>IFERROR(__xludf.DUMMYFUNCTION("""COMPUTED_VALUE"""),"Delivered")</f>
        <v>Delivered</v>
      </c>
      <c r="M5" s="20">
        <f>IFERROR(__xludf.DUMMYFUNCTION("""COMPUTED_VALUE"""),46035.0)</f>
        <v>46035</v>
      </c>
    </row>
    <row r="6">
      <c r="A6" s="14">
        <f>IFERROR(__xludf.DUMMYFUNCTION("""COMPUTED_VALUE"""),2488.0)</f>
        <v>2488</v>
      </c>
      <c r="B6" s="14" t="str">
        <f>IFERROR(__xludf.DUMMYFUNCTION("""COMPUTED_VALUE"""),"MR.SHANKAR")</f>
        <v>MR.SHANKAR</v>
      </c>
      <c r="C6" s="14">
        <f>IFERROR(__xludf.DUMMYFUNCTION("""COMPUTED_VALUE"""),9.443264508E9)</f>
        <v>9443264508</v>
      </c>
      <c r="D6" s="14" t="str">
        <f>IFERROR(__xludf.DUMMYFUNCTION("""COMPUTED_VALUE"""),"TITAN")</f>
        <v>TITAN</v>
      </c>
      <c r="E6" s="14" t="str">
        <f>IFERROR(__xludf.DUMMYFUNCTION("""COMPUTED_VALUE"""),"1955(YM\G)")</f>
        <v>1955(YM\G)</v>
      </c>
      <c r="F6" s="14" t="str">
        <f>IFERROR(__xludf.DUMMYFUNCTION("""COMPUTED_VALUE"""),"MG")</f>
        <v>MG</v>
      </c>
      <c r="G6" s="21">
        <f>IFERROR(__xludf.DUMMYFUNCTION("""COMPUTED_VALUE"""),46024.0)</f>
        <v>46024</v>
      </c>
      <c r="H6" s="21">
        <f>IFERROR(__xludf.DUMMYFUNCTION("""COMPUTED_VALUE"""),46025.0)</f>
        <v>46025</v>
      </c>
      <c r="I6" s="14"/>
      <c r="J6" s="14"/>
      <c r="K6" s="14">
        <f>IFERROR(__xludf.DUMMYFUNCTION("""COMPUTED_VALUE"""),0.0)</f>
        <v>0</v>
      </c>
      <c r="L6" s="14" t="str">
        <f>IFERROR(__xludf.DUMMYFUNCTION("""COMPUTED_VALUE"""),"Delivered")</f>
        <v>Delivered</v>
      </c>
      <c r="M6" s="20">
        <f>IFERROR(__xludf.DUMMYFUNCTION("""COMPUTED_VALUE"""),46029.0)</f>
        <v>46029</v>
      </c>
    </row>
    <row r="7">
      <c r="A7" s="14">
        <f>IFERROR(__xludf.DUMMYFUNCTION("""COMPUTED_VALUE"""),2489.0)</f>
        <v>2489</v>
      </c>
      <c r="B7" s="14" t="str">
        <f>IFERROR(__xludf.DUMMYFUNCTION("""COMPUTED_VALUE"""),"MR.PERIYA SWMAY")</f>
        <v>MR.PERIYA SWMAY</v>
      </c>
      <c r="C7" s="14">
        <f>IFERROR(__xludf.DUMMYFUNCTION("""COMPUTED_VALUE"""),9.791280413E9)</f>
        <v>9791280413</v>
      </c>
      <c r="D7" s="14" t="str">
        <f>IFERROR(__xludf.DUMMYFUNCTION("""COMPUTED_VALUE"""),"SONATA")</f>
        <v>SONATA</v>
      </c>
      <c r="E7" s="14" t="str">
        <f>IFERROR(__xludf.DUMMYFUNCTION("""COMPUTED_VALUE"""),"77083(NM\G)")</f>
        <v>77083(NM\G)</v>
      </c>
      <c r="F7" s="14" t="str">
        <f>IFERROR(__xludf.DUMMYFUNCTION("""COMPUTED_VALUE"""),"MG+CROWN BUTTON")</f>
        <v>MG+CROWN BUTTON</v>
      </c>
      <c r="G7" s="21">
        <f>IFERROR(__xludf.DUMMYFUNCTION("""COMPUTED_VALUE"""),46025.0)</f>
        <v>46025</v>
      </c>
      <c r="H7" s="21">
        <f>IFERROR(__xludf.DUMMYFUNCTION("""COMPUTED_VALUE"""),46026.0)</f>
        <v>46026</v>
      </c>
      <c r="I7" s="14"/>
      <c r="J7" s="14"/>
      <c r="K7" s="14">
        <f>IFERROR(__xludf.DUMMYFUNCTION("""COMPUTED_VALUE"""),0.0)</f>
        <v>0</v>
      </c>
      <c r="L7" s="14" t="str">
        <f>IFERROR(__xludf.DUMMYFUNCTION("""COMPUTED_VALUE"""),"Ready")</f>
        <v>Ready</v>
      </c>
      <c r="M7" s="20"/>
    </row>
    <row r="8">
      <c r="A8" s="14">
        <f>IFERROR(__xludf.DUMMYFUNCTION("""COMPUTED_VALUE"""),2490.0)</f>
        <v>2490</v>
      </c>
      <c r="B8" s="14" t="str">
        <f>IFERROR(__xludf.DUMMYFUNCTION("""COMPUTED_VALUE"""),"MR.MANDHARAN")</f>
        <v>MR.MANDHARAN</v>
      </c>
      <c r="C8" s="14">
        <f>IFERROR(__xludf.DUMMYFUNCTION("""COMPUTED_VALUE"""),8.344720406E9)</f>
        <v>8344720406</v>
      </c>
      <c r="D8" s="14" t="str">
        <f>IFERROR(__xludf.DUMMYFUNCTION("""COMPUTED_VALUE"""),"OTHER WATCHES")</f>
        <v>OTHER WATCHES</v>
      </c>
      <c r="E8" s="14" t="str">
        <f>IFERROR(__xludf.DUMMYFUNCTION("""COMPUTED_VALUE"""),"HMT AUTOMATIC")</f>
        <v>HMT AUTOMATIC</v>
      </c>
      <c r="F8" s="14" t="str">
        <f>IFERROR(__xludf.DUMMYFUNCTION("""COMPUTED_VALUE"""),"KEY BUTTON")</f>
        <v>KEY BUTTON</v>
      </c>
      <c r="G8" s="21">
        <f>IFERROR(__xludf.DUMMYFUNCTION("""COMPUTED_VALUE"""),46025.0)</f>
        <v>46025</v>
      </c>
      <c r="H8" s="21">
        <f>IFERROR(__xludf.DUMMYFUNCTION("""COMPUTED_VALUE"""),46026.0)</f>
        <v>46026</v>
      </c>
      <c r="I8" s="14"/>
      <c r="J8" s="14"/>
      <c r="K8" s="14">
        <f>IFERROR(__xludf.DUMMYFUNCTION("""COMPUTED_VALUE"""),0.0)</f>
        <v>0</v>
      </c>
      <c r="L8" s="14" t="str">
        <f>IFERROR(__xludf.DUMMYFUNCTION("""COMPUTED_VALUE"""),"Returned")</f>
        <v>Returned</v>
      </c>
      <c r="M8" s="20">
        <f>IFERROR(__xludf.DUMMYFUNCTION("""COMPUTED_VALUE"""),46027.0)</f>
        <v>46027</v>
      </c>
    </row>
    <row r="9">
      <c r="A9" s="14">
        <f>IFERROR(__xludf.DUMMYFUNCTION("""COMPUTED_VALUE"""),2491.0)</f>
        <v>2491</v>
      </c>
      <c r="B9" s="14" t="str">
        <f>IFERROR(__xludf.DUMMYFUNCTION("""COMPUTED_VALUE"""),"MR.NAVEEN KUMAR")</f>
        <v>MR.NAVEEN KUMAR</v>
      </c>
      <c r="C9" s="14">
        <f>IFERROR(__xludf.DUMMYFUNCTION("""COMPUTED_VALUE"""),8.248071974E9)</f>
        <v>8248071974</v>
      </c>
      <c r="D9" s="14" t="str">
        <f>IFERROR(__xludf.DUMMYFUNCTION("""COMPUTED_VALUE"""),"SMART WATCH")</f>
        <v>SMART WATCH</v>
      </c>
      <c r="E9" s="14" t="str">
        <f>IFERROR(__xludf.DUMMYFUNCTION("""COMPUTED_VALUE"""),"FASTRACK PP03")</f>
        <v>FASTRACK PP03</v>
      </c>
      <c r="F9" s="14" t="str">
        <f>IFERROR(__xludf.DUMMYFUNCTION("""COMPUTED_VALUE"""),"BATTERY DRAIN")</f>
        <v>BATTERY DRAIN</v>
      </c>
      <c r="G9" s="21">
        <f>IFERROR(__xludf.DUMMYFUNCTION("""COMPUTED_VALUE"""),46025.0)</f>
        <v>46025</v>
      </c>
      <c r="H9" s="21">
        <f>IFERROR(__xludf.DUMMYFUNCTION("""COMPUTED_VALUE"""),46029.0)</f>
        <v>46029</v>
      </c>
      <c r="I9" s="14">
        <f>IFERROR(__xludf.DUMMYFUNCTION("""COMPUTED_VALUE"""),500.0)</f>
        <v>500</v>
      </c>
      <c r="J9" s="14"/>
      <c r="K9" s="14">
        <f>IFERROR(__xludf.DUMMYFUNCTION("""COMPUTED_VALUE"""),500.0)</f>
        <v>500</v>
      </c>
      <c r="L9" s="14" t="str">
        <f>IFERROR(__xludf.DUMMYFUNCTION("""COMPUTED_VALUE"""),"Delivered")</f>
        <v>Delivered</v>
      </c>
      <c r="M9" s="20">
        <f>IFERROR(__xludf.DUMMYFUNCTION("""COMPUTED_VALUE"""),46029.0)</f>
        <v>46029</v>
      </c>
    </row>
    <row r="10">
      <c r="A10" s="14">
        <f>IFERROR(__xludf.DUMMYFUNCTION("""COMPUTED_VALUE"""),2492.0)</f>
        <v>2492</v>
      </c>
      <c r="B10" s="14" t="str">
        <f>IFERROR(__xludf.DUMMYFUNCTION("""COMPUTED_VALUE"""),"MR.RAJA PANDI")</f>
        <v>MR.RAJA PANDI</v>
      </c>
      <c r="C10" s="14">
        <f>IFERROR(__xludf.DUMMYFUNCTION("""COMPUTED_VALUE"""),8.07220449E9)</f>
        <v>8072204490</v>
      </c>
      <c r="D10" s="14" t="str">
        <f>IFERROR(__xludf.DUMMYFUNCTION("""COMPUTED_VALUE"""),"FASTRACK")</f>
        <v>FASTRACK</v>
      </c>
      <c r="E10" s="14" t="str">
        <f>IFERROR(__xludf.DUMMYFUNCTION("""COMPUTED_VALUE"""),"3072SM(G)")</f>
        <v>3072SM(G)</v>
      </c>
      <c r="F10" s="14" t="str">
        <f>IFERROR(__xludf.DUMMYFUNCTION("""COMPUTED_VALUE"""),"MG+SERVIVE")</f>
        <v>MG+SERVIVE</v>
      </c>
      <c r="G10" s="21">
        <f>IFERROR(__xludf.DUMMYFUNCTION("""COMPUTED_VALUE"""),46026.0)</f>
        <v>46026</v>
      </c>
      <c r="H10" s="21">
        <f>IFERROR(__xludf.DUMMYFUNCTION("""COMPUTED_VALUE"""),46036.0)</f>
        <v>46036</v>
      </c>
      <c r="I10" s="14"/>
      <c r="J10" s="14"/>
      <c r="K10" s="14">
        <f>IFERROR(__xludf.DUMMYFUNCTION("""COMPUTED_VALUE"""),0.0)</f>
        <v>0</v>
      </c>
      <c r="L10" s="14" t="str">
        <f>IFERROR(__xludf.DUMMYFUNCTION("""COMPUTED_VALUE"""),"Pending ")</f>
        <v>Pending </v>
      </c>
      <c r="M10" s="20"/>
    </row>
    <row r="11">
      <c r="A11" s="14">
        <f>IFERROR(__xludf.DUMMYFUNCTION("""COMPUTED_VALUE"""),2492.0)</f>
        <v>2492</v>
      </c>
      <c r="B11" s="14" t="str">
        <f>IFERROR(__xludf.DUMMYFUNCTION("""COMPUTED_VALUE"""),"MR.RAJA PANDI")</f>
        <v>MR.RAJA PANDI</v>
      </c>
      <c r="C11" s="14">
        <f>IFERROR(__xludf.DUMMYFUNCTION("""COMPUTED_VALUE"""),8.07220449E9)</f>
        <v>8072204490</v>
      </c>
      <c r="D11" s="14" t="str">
        <f>IFERROR(__xludf.DUMMYFUNCTION("""COMPUTED_VALUE"""),"TITAN")</f>
        <v>TITAN</v>
      </c>
      <c r="E11" s="14" t="str">
        <f>IFERROR(__xludf.DUMMYFUNCTION("""COMPUTED_VALUE"""),"1650YM(G)")</f>
        <v>1650YM(G)</v>
      </c>
      <c r="F11" s="14" t="str">
        <f>IFERROR(__xludf.DUMMYFUNCTION("""COMPUTED_VALUE"""),"CUP+SERVIVE")</f>
        <v>CUP+SERVIVE</v>
      </c>
      <c r="G11" s="21">
        <f>IFERROR(__xludf.DUMMYFUNCTION("""COMPUTED_VALUE"""),46026.0)</f>
        <v>46026</v>
      </c>
      <c r="H11" s="21">
        <f>IFERROR(__xludf.DUMMYFUNCTION("""COMPUTED_VALUE"""),46036.0)</f>
        <v>46036</v>
      </c>
      <c r="I11" s="14"/>
      <c r="J11" s="14"/>
      <c r="K11" s="14"/>
      <c r="L11" s="14" t="str">
        <f>IFERROR(__xludf.DUMMYFUNCTION("""COMPUTED_VALUE"""),"Pending ")</f>
        <v>Pending </v>
      </c>
      <c r="M11" s="20"/>
    </row>
    <row r="12">
      <c r="A12" s="14">
        <f>IFERROR(__xludf.DUMMYFUNCTION("""COMPUTED_VALUE"""),2493.0)</f>
        <v>2493</v>
      </c>
      <c r="B12" s="14" t="str">
        <f>IFERROR(__xludf.DUMMYFUNCTION("""COMPUTED_VALUE"""),"MR.MANI VEL")</f>
        <v>MR.MANI VEL</v>
      </c>
      <c r="C12" s="14">
        <f>IFERROR(__xludf.DUMMYFUNCTION("""COMPUTED_VALUE"""),8.344805985E9)</f>
        <v>8344805985</v>
      </c>
      <c r="D12" s="14" t="str">
        <f>IFERROR(__xludf.DUMMYFUNCTION("""COMPUTED_VALUE"""),"TITAN")</f>
        <v>TITAN</v>
      </c>
      <c r="E12" s="14" t="str">
        <f>IFERROR(__xludf.DUMMYFUNCTION("""COMPUTED_VALUE"""),"161YM(G)")</f>
        <v>161YM(G)</v>
      </c>
      <c r="F12" s="14" t="str">
        <f>IFERROR(__xludf.DUMMYFUNCTION("""COMPUTED_VALUE"""),"CASE+CHAIN+BATTERY(721)")</f>
        <v>CASE+CHAIN+BATTERY(721)</v>
      </c>
      <c r="G12" s="21">
        <f>IFERROR(__xludf.DUMMYFUNCTION("""COMPUTED_VALUE"""),46026.0)</f>
        <v>46026</v>
      </c>
      <c r="H12" s="21">
        <f>IFERROR(__xludf.DUMMYFUNCTION("""COMPUTED_VALUE"""),46026.0)</f>
        <v>46026</v>
      </c>
      <c r="I12" s="14">
        <f>IFERROR(__xludf.DUMMYFUNCTION("""COMPUTED_VALUE"""),1500.0)</f>
        <v>1500</v>
      </c>
      <c r="J12" s="14"/>
      <c r="K12" s="14">
        <f>IFERROR(__xludf.DUMMYFUNCTION("""COMPUTED_VALUE"""),1500.0)</f>
        <v>1500</v>
      </c>
      <c r="L12" s="14" t="str">
        <f>IFERROR(__xludf.DUMMYFUNCTION("""COMPUTED_VALUE"""),"Ready")</f>
        <v>Ready</v>
      </c>
      <c r="M12" s="20"/>
    </row>
    <row r="13">
      <c r="A13" s="14">
        <f>IFERROR(__xludf.DUMMYFUNCTION("""COMPUTED_VALUE"""),2494.0)</f>
        <v>2494</v>
      </c>
      <c r="B13" s="14" t="str">
        <f>IFERROR(__xludf.DUMMYFUNCTION("""COMPUTED_VALUE"""),"MR.SURESH")</f>
        <v>MR.SURESH</v>
      </c>
      <c r="C13" s="14">
        <f>IFERROR(__xludf.DUMMYFUNCTION("""COMPUTED_VALUE"""),9.543888461E9)</f>
        <v>9543888461</v>
      </c>
      <c r="D13" s="14" t="str">
        <f>IFERROR(__xludf.DUMMYFUNCTION("""COMPUTED_VALUE"""),"TITAN")</f>
        <v>TITAN</v>
      </c>
      <c r="E13" s="14" t="str">
        <f>IFERROR(__xludf.DUMMYFUNCTION("""COMPUTED_VALUE"""),"531YM(G)")</f>
        <v>531YM(G)</v>
      </c>
      <c r="F13" s="14" t="str">
        <f>IFERROR(__xludf.DUMMYFUNCTION("""COMPUTED_VALUE"""),"RE SERVICE")</f>
        <v>RE SERVICE</v>
      </c>
      <c r="G13" s="21">
        <f>IFERROR(__xludf.DUMMYFUNCTION("""COMPUTED_VALUE"""),46026.0)</f>
        <v>46026</v>
      </c>
      <c r="H13" s="21"/>
      <c r="I13" s="14">
        <f>IFERROR(__xludf.DUMMYFUNCTION("""COMPUTED_VALUE"""),0.0)</f>
        <v>0</v>
      </c>
      <c r="J13" s="14"/>
      <c r="K13" s="14">
        <f>IFERROR(__xludf.DUMMYFUNCTION("""COMPUTED_VALUE"""),0.0)</f>
        <v>0</v>
      </c>
      <c r="L13" s="14" t="str">
        <f>IFERROR(__xludf.DUMMYFUNCTION("""COMPUTED_VALUE"""),"Delivered")</f>
        <v>Delivered</v>
      </c>
      <c r="M13" s="20">
        <f>IFERROR(__xludf.DUMMYFUNCTION("""COMPUTED_VALUE"""),46031.0)</f>
        <v>46031</v>
      </c>
    </row>
    <row r="14">
      <c r="A14" s="14">
        <f>IFERROR(__xludf.DUMMYFUNCTION("""COMPUTED_VALUE"""),2495.0)</f>
        <v>2495</v>
      </c>
      <c r="B14" s="14" t="str">
        <f>IFERROR(__xludf.DUMMYFUNCTION("""COMPUTED_VALUE"""),"MR.M.UMA PATHY")</f>
        <v>MR.M.UMA PATHY</v>
      </c>
      <c r="C14" s="14">
        <f>IFERROR(__xludf.DUMMYFUNCTION("""COMPUTED_VALUE"""),9.952347349E9)</f>
        <v>9952347349</v>
      </c>
      <c r="D14" s="14" t="str">
        <f>IFERROR(__xludf.DUMMYFUNCTION("""COMPUTED_VALUE"""),"SMART WATCH")</f>
        <v>SMART WATCH</v>
      </c>
      <c r="E14" s="14" t="str">
        <f>IFERROR(__xludf.DUMMYFUNCTION("""COMPUTED_VALUE"""),"FIREBOLT(NM)")</f>
        <v>FIREBOLT(NM)</v>
      </c>
      <c r="F14" s="14" t="str">
        <f>IFERROR(__xludf.DUMMYFUNCTION("""COMPUTED_VALUE"""),"BATTERY")</f>
        <v>BATTERY</v>
      </c>
      <c r="G14" s="21">
        <f>IFERROR(__xludf.DUMMYFUNCTION("""COMPUTED_VALUE"""),46027.0)</f>
        <v>46027</v>
      </c>
      <c r="H14" s="21">
        <f>IFERROR(__xludf.DUMMYFUNCTION("""COMPUTED_VALUE"""),46037.0)</f>
        <v>46037</v>
      </c>
      <c r="I14" s="14"/>
      <c r="J14" s="14"/>
      <c r="K14" s="14">
        <f>IFERROR(__xludf.DUMMYFUNCTION("""COMPUTED_VALUE"""),0.0)</f>
        <v>0</v>
      </c>
      <c r="L14" s="14" t="str">
        <f>IFERROR(__xludf.DUMMYFUNCTION("""COMPUTED_VALUE"""),"Ready")</f>
        <v>Ready</v>
      </c>
      <c r="M14" s="20"/>
    </row>
    <row r="15">
      <c r="A15" s="14">
        <f>IFERROR(__xludf.DUMMYFUNCTION("""COMPUTED_VALUE"""),2496.0)</f>
        <v>2496</v>
      </c>
      <c r="B15" s="14" t="str">
        <f>IFERROR(__xludf.DUMMYFUNCTION("""COMPUTED_VALUE"""),"MR.SELVA KUMAR")</f>
        <v>MR.SELVA KUMAR</v>
      </c>
      <c r="C15" s="14">
        <f>IFERROR(__xludf.DUMMYFUNCTION("""COMPUTED_VALUE"""),9.04360647E9)</f>
        <v>9043606470</v>
      </c>
      <c r="D15" s="14" t="str">
        <f>IFERROR(__xludf.DUMMYFUNCTION("""COMPUTED_VALUE"""),"FASTRACK")</f>
        <v>FASTRACK</v>
      </c>
      <c r="E15" s="14" t="str">
        <f>IFERROR(__xludf.DUMMYFUNCTION("""COMPUTED_VALUE"""),"1478SL(G)")</f>
        <v>1478SL(G)</v>
      </c>
      <c r="F15" s="14" t="str">
        <f>IFERROR(__xludf.DUMMYFUNCTION("""COMPUTED_VALUE"""),"SERVICE+BATTERY")</f>
        <v>SERVICE+BATTERY</v>
      </c>
      <c r="G15" s="21">
        <f>IFERROR(__xludf.DUMMYFUNCTION("""COMPUTED_VALUE"""),46027.0)</f>
        <v>46027</v>
      </c>
      <c r="H15" s="21">
        <f>IFERROR(__xludf.DUMMYFUNCTION("""COMPUTED_VALUE"""),46031.0)</f>
        <v>46031</v>
      </c>
      <c r="I15" s="14">
        <f>IFERROR(__xludf.DUMMYFUNCTION("""COMPUTED_VALUE"""),450.0)</f>
        <v>450</v>
      </c>
      <c r="J15" s="14"/>
      <c r="K15" s="14">
        <f>IFERROR(__xludf.DUMMYFUNCTION("""COMPUTED_VALUE"""),450.0)</f>
        <v>450</v>
      </c>
      <c r="L15" s="14" t="str">
        <f>IFERROR(__xludf.DUMMYFUNCTION("""COMPUTED_VALUE"""),"Pending ")</f>
        <v>Pending </v>
      </c>
      <c r="M15" s="20"/>
    </row>
    <row r="16">
      <c r="A16" s="14">
        <f>IFERROR(__xludf.DUMMYFUNCTION("""COMPUTED_VALUE"""),2497.0)</f>
        <v>2497</v>
      </c>
      <c r="B16" s="14" t="str">
        <f>IFERROR(__xludf.DUMMYFUNCTION("""COMPUTED_VALUE"""),"MR.THIBOTH")</f>
        <v>MR.THIBOTH</v>
      </c>
      <c r="C16" s="14">
        <f>IFERROR(__xludf.DUMMYFUNCTION("""COMPUTED_VALUE"""),9.629862776E9)</f>
        <v>9629862776</v>
      </c>
      <c r="D16" s="14" t="str">
        <f>IFERROR(__xludf.DUMMYFUNCTION("""COMPUTED_VALUE"""),"FASTRACK")</f>
        <v>FASTRACK</v>
      </c>
      <c r="E16" s="14" t="str">
        <f>IFERROR(__xludf.DUMMYFUNCTION("""COMPUTED_VALUE"""),"38163NL(G)")</f>
        <v>38163NL(G)</v>
      </c>
      <c r="F16" s="14" t="str">
        <f>IFERROR(__xludf.DUMMYFUNCTION("""COMPUTED_VALUE"""),"MG+SERVICE+BATTERY")</f>
        <v>MG+SERVICE+BATTERY</v>
      </c>
      <c r="G16" s="21">
        <f>IFERROR(__xludf.DUMMYFUNCTION("""COMPUTED_VALUE"""),46027.0)</f>
        <v>46027</v>
      </c>
      <c r="H16" s="21">
        <f>IFERROR(__xludf.DUMMYFUNCTION("""COMPUTED_VALUE"""),46031.0)</f>
        <v>46031</v>
      </c>
      <c r="I16" s="14"/>
      <c r="J16" s="14"/>
      <c r="K16" s="14">
        <f>IFERROR(__xludf.DUMMYFUNCTION("""COMPUTED_VALUE"""),0.0)</f>
        <v>0</v>
      </c>
      <c r="L16" s="14" t="str">
        <f>IFERROR(__xludf.DUMMYFUNCTION("""COMPUTED_VALUE"""),"Pending ")</f>
        <v>Pending </v>
      </c>
      <c r="M16" s="20"/>
    </row>
    <row r="17">
      <c r="A17" s="14">
        <f>IFERROR(__xludf.DUMMYFUNCTION("""COMPUTED_VALUE"""),2498.0)</f>
        <v>2498</v>
      </c>
      <c r="B17" s="14" t="str">
        <f>IFERROR(__xludf.DUMMYFUNCTION("""COMPUTED_VALUE"""),"MR.SHANMUNGUM")</f>
        <v>MR.SHANMUNGUM</v>
      </c>
      <c r="C17" s="14">
        <f>IFERROR(__xludf.DUMMYFUNCTION("""COMPUTED_VALUE"""),9.566357413E9)</f>
        <v>9566357413</v>
      </c>
      <c r="D17" s="14" t="str">
        <f>IFERROR(__xludf.DUMMYFUNCTION("""COMPUTED_VALUE"""),"TITAN")</f>
        <v>TITAN</v>
      </c>
      <c r="E17" s="14" t="str">
        <f>IFERROR(__xludf.DUMMYFUNCTION("""COMPUTED_VALUE"""),"9264YM(G)")</f>
        <v>9264YM(G)</v>
      </c>
      <c r="F17" s="14" t="str">
        <f>IFERROR(__xludf.DUMMYFUNCTION("""COMPUTED_VALUE"""),"COIL+SERVICE+BATTERY")</f>
        <v>COIL+SERVICE+BATTERY</v>
      </c>
      <c r="G17" s="21">
        <f>IFERROR(__xludf.DUMMYFUNCTION("""COMPUTED_VALUE"""),46028.0)</f>
        <v>46028</v>
      </c>
      <c r="H17" s="21">
        <f>IFERROR(__xludf.DUMMYFUNCTION("""COMPUTED_VALUE"""),46031.0)</f>
        <v>46031</v>
      </c>
      <c r="I17" s="14">
        <f>IFERROR(__xludf.DUMMYFUNCTION("""COMPUTED_VALUE"""),450.0)</f>
        <v>450</v>
      </c>
      <c r="J17" s="14"/>
      <c r="K17" s="14">
        <f>IFERROR(__xludf.DUMMYFUNCTION("""COMPUTED_VALUE"""),450.0)</f>
        <v>450</v>
      </c>
      <c r="L17" s="14" t="str">
        <f>IFERROR(__xludf.DUMMYFUNCTION("""COMPUTED_VALUE"""),"Ready")</f>
        <v>Ready</v>
      </c>
      <c r="M17" s="20"/>
    </row>
    <row r="18">
      <c r="A18" s="14">
        <f>IFERROR(__xludf.DUMMYFUNCTION("""COMPUTED_VALUE"""),2499.0)</f>
        <v>2499</v>
      </c>
      <c r="B18" s="14" t="str">
        <f>IFERROR(__xludf.DUMMYFUNCTION("""COMPUTED_VALUE"""),"MR.ANBU")</f>
        <v>MR.ANBU</v>
      </c>
      <c r="C18" s="14">
        <f>IFERROR(__xludf.DUMMYFUNCTION("""COMPUTED_VALUE"""),7.402255388E9)</f>
        <v>7402255388</v>
      </c>
      <c r="D18" s="14" t="str">
        <f>IFERROR(__xludf.DUMMYFUNCTION("""COMPUTED_VALUE"""),"TITAN")</f>
        <v>TITAN</v>
      </c>
      <c r="E18" s="14" t="str">
        <f>IFERROR(__xludf.DUMMYFUNCTION("""COMPUTED_VALUE"""),"1320YM(G)")</f>
        <v>1320YM(G)</v>
      </c>
      <c r="F18" s="14" t="str">
        <f>IFERROR(__xludf.DUMMYFUNCTION("""COMPUTED_VALUE"""),"MG")</f>
        <v>MG</v>
      </c>
      <c r="G18" s="21">
        <f>IFERROR(__xludf.DUMMYFUNCTION("""COMPUTED_VALUE"""),46029.0)</f>
        <v>46029</v>
      </c>
      <c r="H18" s="21">
        <f>IFERROR(__xludf.DUMMYFUNCTION("""COMPUTED_VALUE"""),46030.0)</f>
        <v>46030</v>
      </c>
      <c r="I18" s="14"/>
      <c r="J18" s="14"/>
      <c r="K18" s="14">
        <f>IFERROR(__xludf.DUMMYFUNCTION("""COMPUTED_VALUE"""),0.0)</f>
        <v>0</v>
      </c>
      <c r="L18" s="14" t="str">
        <f>IFERROR(__xludf.DUMMYFUNCTION("""COMPUTED_VALUE"""),"Delivered")</f>
        <v>Delivered</v>
      </c>
      <c r="M18" s="20"/>
    </row>
    <row r="19">
      <c r="A19" s="14">
        <f>IFERROR(__xludf.DUMMYFUNCTION("""COMPUTED_VALUE"""),2500.0)</f>
        <v>2500</v>
      </c>
      <c r="B19" s="14" t="str">
        <f>IFERROR(__xludf.DUMMYFUNCTION("""COMPUTED_VALUE"""),"MR.LOGANATHAN")</f>
        <v>MR.LOGANATHAN</v>
      </c>
      <c r="C19" s="14">
        <f>IFERROR(__xludf.DUMMYFUNCTION("""COMPUTED_VALUE"""),6.379910965E9)</f>
        <v>6379910965</v>
      </c>
      <c r="D19" s="14" t="str">
        <f>IFERROR(__xludf.DUMMYFUNCTION("""COMPUTED_VALUE"""),"TITAN")</f>
        <v>TITAN</v>
      </c>
      <c r="E19" s="14" t="str">
        <f>IFERROR(__xludf.DUMMYFUNCTION("""COMPUTED_VALUE"""),"1581YM(G)")</f>
        <v>1581YM(G)</v>
      </c>
      <c r="F19" s="14" t="str">
        <f>IFERROR(__xludf.DUMMYFUNCTION("""COMPUTED_VALUE"""),"SERVICE+BUTTON")</f>
        <v>SERVICE+BUTTON</v>
      </c>
      <c r="G19" s="21">
        <f>IFERROR(__xludf.DUMMYFUNCTION("""COMPUTED_VALUE"""),46029.0)</f>
        <v>46029</v>
      </c>
      <c r="H19" s="21">
        <f>IFERROR(__xludf.DUMMYFUNCTION("""COMPUTED_VALUE"""),46033.0)</f>
        <v>46033</v>
      </c>
      <c r="I19" s="14">
        <f>IFERROR(__xludf.DUMMYFUNCTION("""COMPUTED_VALUE"""),300.0)</f>
        <v>300</v>
      </c>
      <c r="J19" s="14"/>
      <c r="K19" s="14">
        <f>IFERROR(__xludf.DUMMYFUNCTION("""COMPUTED_VALUE"""),300.0)</f>
        <v>300</v>
      </c>
      <c r="L19" s="14" t="str">
        <f>IFERROR(__xludf.DUMMYFUNCTION("""COMPUTED_VALUE"""),"Ready")</f>
        <v>Ready</v>
      </c>
      <c r="M19" s="20"/>
    </row>
    <row r="20">
      <c r="A20" s="14">
        <f>IFERROR(__xludf.DUMMYFUNCTION("""COMPUTED_VALUE"""),2501.0)</f>
        <v>2501</v>
      </c>
      <c r="B20" s="14" t="str">
        <f>IFERROR(__xludf.DUMMYFUNCTION("""COMPUTED_VALUE"""),"MR.T.MUTHU")</f>
        <v>MR.T.MUTHU</v>
      </c>
      <c r="C20" s="14">
        <f>IFERROR(__xludf.DUMMYFUNCTION("""COMPUTED_VALUE"""),9.79149259E9)</f>
        <v>9791492590</v>
      </c>
      <c r="D20" s="14" t="str">
        <f>IFERROR(__xludf.DUMMYFUNCTION("""COMPUTED_VALUE"""),"WALL CLOCK")</f>
        <v>WALL CLOCK</v>
      </c>
      <c r="E20" s="14" t="str">
        <f>IFERROR(__xludf.DUMMYFUNCTION("""COMPUTED_VALUE"""),"PROMISE 151")</f>
        <v>PROMISE 151</v>
      </c>
      <c r="F20" s="14" t="str">
        <f>IFERROR(__xludf.DUMMYFUNCTION("""COMPUTED_VALUE"""),"MOVEMENT")</f>
        <v>MOVEMENT</v>
      </c>
      <c r="G20" s="21">
        <f>IFERROR(__xludf.DUMMYFUNCTION("""COMPUTED_VALUE"""),46029.0)</f>
        <v>46029</v>
      </c>
      <c r="H20" s="21">
        <f>IFERROR(__xludf.DUMMYFUNCTION("""COMPUTED_VALUE"""),46030.0)</f>
        <v>46030</v>
      </c>
      <c r="I20" s="14">
        <f>IFERROR(__xludf.DUMMYFUNCTION("""COMPUTED_VALUE"""),150.0)</f>
        <v>150</v>
      </c>
      <c r="J20" s="14"/>
      <c r="K20" s="14">
        <f>IFERROR(__xludf.DUMMYFUNCTION("""COMPUTED_VALUE"""),150.0)</f>
        <v>150</v>
      </c>
      <c r="L20" s="14" t="str">
        <f>IFERROR(__xludf.DUMMYFUNCTION("""COMPUTED_VALUE"""),"Delivered")</f>
        <v>Delivered</v>
      </c>
      <c r="M20" s="20">
        <f>IFERROR(__xludf.DUMMYFUNCTION("""COMPUTED_VALUE"""),46030.0)</f>
        <v>46030</v>
      </c>
    </row>
    <row r="21">
      <c r="A21" s="14">
        <f>IFERROR(__xludf.DUMMYFUNCTION("""COMPUTED_VALUE"""),2502.0)</f>
        <v>2502</v>
      </c>
      <c r="B21" s="14" t="str">
        <f>IFERROR(__xludf.DUMMYFUNCTION("""COMPUTED_VALUE"""),"MR.MURUGHAN")</f>
        <v>MR.MURUGHAN</v>
      </c>
      <c r="C21" s="14">
        <f>IFERROR(__xludf.DUMMYFUNCTION("""COMPUTED_VALUE"""),9.943562247E9)</f>
        <v>9943562247</v>
      </c>
      <c r="D21" s="14" t="str">
        <f>IFERROR(__xludf.DUMMYFUNCTION("""COMPUTED_VALUE"""),"TITAN")</f>
        <v>TITAN</v>
      </c>
      <c r="E21" s="14" t="str">
        <f>IFERROR(__xludf.DUMMYFUNCTION("""COMPUTED_VALUE"""),"1641YM(G)")</f>
        <v>1641YM(G)</v>
      </c>
      <c r="F21" s="14" t="str">
        <f>IFERROR(__xludf.DUMMYFUNCTION("""COMPUTED_VALUE"""),"SERVICE")</f>
        <v>SERVICE</v>
      </c>
      <c r="G21" s="21">
        <f>IFERROR(__xludf.DUMMYFUNCTION("""COMPUTED_VALUE"""),46029.0)</f>
        <v>46029</v>
      </c>
      <c r="H21" s="21">
        <f>IFERROR(__xludf.DUMMYFUNCTION("""COMPUTED_VALUE"""),46031.0)</f>
        <v>46031</v>
      </c>
      <c r="I21" s="14"/>
      <c r="J21" s="14"/>
      <c r="K21" s="14">
        <f>IFERROR(__xludf.DUMMYFUNCTION("""COMPUTED_VALUE"""),0.0)</f>
        <v>0</v>
      </c>
      <c r="L21" s="14" t="str">
        <f>IFERROR(__xludf.DUMMYFUNCTION("""COMPUTED_VALUE"""),"Delivered")</f>
        <v>Delivered</v>
      </c>
      <c r="M21" s="20"/>
    </row>
    <row r="22">
      <c r="A22" s="14">
        <f>IFERROR(__xludf.DUMMYFUNCTION("""COMPUTED_VALUE"""),2503.0)</f>
        <v>2503</v>
      </c>
      <c r="B22" s="14" t="str">
        <f>IFERROR(__xludf.DUMMYFUNCTION("""COMPUTED_VALUE"""),"MR.MANIVEL")</f>
        <v>MR.MANIVEL</v>
      </c>
      <c r="C22" s="14">
        <f>IFERROR(__xludf.DUMMYFUNCTION("""COMPUTED_VALUE"""),9.9432712E9)</f>
        <v>9943271200</v>
      </c>
      <c r="D22" s="14" t="str">
        <f>IFERROR(__xludf.DUMMYFUNCTION("""COMPUTED_VALUE"""),"SONATA")</f>
        <v>SONATA</v>
      </c>
      <c r="E22" s="14" t="str">
        <f>IFERROR(__xludf.DUMMYFUNCTION("""COMPUTED_VALUE"""),"1141YM(G)")</f>
        <v>1141YM(G)</v>
      </c>
      <c r="F22" s="14" t="str">
        <f>IFERROR(__xludf.DUMMYFUNCTION("""COMPUTED_VALUE"""),"SERVICE")</f>
        <v>SERVICE</v>
      </c>
      <c r="G22" s="21">
        <f>IFERROR(__xludf.DUMMYFUNCTION("""COMPUTED_VALUE"""),46029.0)</f>
        <v>46029</v>
      </c>
      <c r="H22" s="21">
        <f>IFERROR(__xludf.DUMMYFUNCTION("""COMPUTED_VALUE"""),46033.0)</f>
        <v>46033</v>
      </c>
      <c r="I22" s="14">
        <f>IFERROR(__xludf.DUMMYFUNCTION("""COMPUTED_VALUE"""),400.0)</f>
        <v>400</v>
      </c>
      <c r="J22" s="14"/>
      <c r="K22" s="14">
        <f>IFERROR(__xludf.DUMMYFUNCTION("""COMPUTED_VALUE"""),400.0)</f>
        <v>400</v>
      </c>
      <c r="L22" s="14" t="str">
        <f>IFERROR(__xludf.DUMMYFUNCTION("""COMPUTED_VALUE"""),"Ready")</f>
        <v>Ready</v>
      </c>
      <c r="M22" s="20"/>
    </row>
    <row r="23">
      <c r="A23" s="14">
        <f>IFERROR(__xludf.DUMMYFUNCTION("""COMPUTED_VALUE"""),2504.0)</f>
        <v>2504</v>
      </c>
      <c r="B23" s="14" t="str">
        <f>IFERROR(__xludf.DUMMYFUNCTION("""COMPUTED_VALUE"""),"MS.MONIKA")</f>
        <v>MS.MONIKA</v>
      </c>
      <c r="C23" s="14">
        <f>IFERROR(__xludf.DUMMYFUNCTION("""COMPUTED_VALUE"""),8.072535669E9)</f>
        <v>8072535669</v>
      </c>
      <c r="D23" s="14" t="str">
        <f>IFERROR(__xludf.DUMMYFUNCTION("""COMPUTED_VALUE"""),"SONATA")</f>
        <v>SONATA</v>
      </c>
      <c r="E23" s="14" t="str">
        <f>IFERROR(__xludf.DUMMYFUNCTION("""COMPUTED_VALUE"""),"8141SM(L)")</f>
        <v>8141SM(L)</v>
      </c>
      <c r="F23" s="14" t="str">
        <f>IFERROR(__xludf.DUMMYFUNCTION("""COMPUTED_VALUE"""),"SERVICE+BATTERY")</f>
        <v>SERVICE+BATTERY</v>
      </c>
      <c r="G23" s="21">
        <f>IFERROR(__xludf.DUMMYFUNCTION("""COMPUTED_VALUE"""),46030.0)</f>
        <v>46030</v>
      </c>
      <c r="H23" s="21">
        <f>IFERROR(__xludf.DUMMYFUNCTION("""COMPUTED_VALUE"""),46033.0)</f>
        <v>46033</v>
      </c>
      <c r="I23" s="14">
        <f>IFERROR(__xludf.DUMMYFUNCTION("""COMPUTED_VALUE"""),350.0)</f>
        <v>350</v>
      </c>
      <c r="J23" s="14"/>
      <c r="K23" s="14">
        <f>IFERROR(__xludf.DUMMYFUNCTION("""COMPUTED_VALUE"""),350.0)</f>
        <v>350</v>
      </c>
      <c r="L23" s="14" t="str">
        <f>IFERROR(__xludf.DUMMYFUNCTION("""COMPUTED_VALUE"""),"Pending ")</f>
        <v>Pending </v>
      </c>
      <c r="M23" s="20"/>
    </row>
    <row r="24">
      <c r="A24" s="14">
        <f>IFERROR(__xludf.DUMMYFUNCTION("""COMPUTED_VALUE"""),2505.0)</f>
        <v>2505</v>
      </c>
      <c r="B24" s="14" t="str">
        <f>IFERROR(__xludf.DUMMYFUNCTION("""COMPUTED_VALUE"""),"MR.KANNAN")</f>
        <v>MR.KANNAN</v>
      </c>
      <c r="C24" s="14">
        <f>IFERROR(__xludf.DUMMYFUNCTION("""COMPUTED_VALUE"""),7.010015123E9)</f>
        <v>7010015123</v>
      </c>
      <c r="D24" s="14" t="str">
        <f>IFERROR(__xludf.DUMMYFUNCTION("""COMPUTED_VALUE"""),"FASTRACK")</f>
        <v>FASTRACK</v>
      </c>
      <c r="E24" s="14" t="str">
        <f>IFERROR(__xludf.DUMMYFUNCTION("""COMPUTED_VALUE"""),"3120SL(G)")</f>
        <v>3120SL(G)</v>
      </c>
      <c r="F24" s="14" t="str">
        <f>IFERROR(__xludf.DUMMYFUNCTION("""COMPUTED_VALUE"""),"MG+BATTERY+STRAP")</f>
        <v>MG+BATTERY+STRAP</v>
      </c>
      <c r="G24" s="21">
        <f>IFERROR(__xludf.DUMMYFUNCTION("""COMPUTED_VALUE"""),46031.0)</f>
        <v>46031</v>
      </c>
      <c r="H24" s="21">
        <f>IFERROR(__xludf.DUMMYFUNCTION("""COMPUTED_VALUE"""),46035.0)</f>
        <v>46035</v>
      </c>
      <c r="I24" s="14"/>
      <c r="J24" s="14"/>
      <c r="K24" s="14">
        <f>IFERROR(__xludf.DUMMYFUNCTION("""COMPUTED_VALUE"""),0.0)</f>
        <v>0</v>
      </c>
      <c r="L24" s="14" t="str">
        <f>IFERROR(__xludf.DUMMYFUNCTION("""COMPUTED_VALUE"""),"Pending ")</f>
        <v>Pending </v>
      </c>
      <c r="M24" s="20"/>
    </row>
    <row r="25">
      <c r="A25" s="14">
        <f>IFERROR(__xludf.DUMMYFUNCTION("""COMPUTED_VALUE"""),2505.0)</f>
        <v>2505</v>
      </c>
      <c r="B25" s="14" t="str">
        <f>IFERROR(__xludf.DUMMYFUNCTION("""COMPUTED_VALUE"""),"MR.KANNAN")</f>
        <v>MR.KANNAN</v>
      </c>
      <c r="C25" s="14">
        <f>IFERROR(__xludf.DUMMYFUNCTION("""COMPUTED_VALUE"""),7.010015123E9)</f>
        <v>7010015123</v>
      </c>
      <c r="D25" s="14" t="str">
        <f>IFERROR(__xludf.DUMMYFUNCTION("""COMPUTED_VALUE"""),"TITAN")</f>
        <v>TITAN</v>
      </c>
      <c r="E25" s="14" t="str">
        <f>IFERROR(__xludf.DUMMYFUNCTION("""COMPUTED_VALUE"""),"9224SL(G)")</f>
        <v>9224SL(G)</v>
      </c>
      <c r="F25" s="14" t="str">
        <f>IFERROR(__xludf.DUMMYFUNCTION("""COMPUTED_VALUE"""),"MG+STRAP")</f>
        <v>MG+STRAP</v>
      </c>
      <c r="G25" s="21">
        <f>IFERROR(__xludf.DUMMYFUNCTION("""COMPUTED_VALUE"""),46031.0)</f>
        <v>46031</v>
      </c>
      <c r="H25" s="21">
        <f>IFERROR(__xludf.DUMMYFUNCTION("""COMPUTED_VALUE"""),46035.0)</f>
        <v>46035</v>
      </c>
      <c r="I25" s="14"/>
      <c r="J25" s="14"/>
      <c r="K25" s="14">
        <f>IFERROR(__xludf.DUMMYFUNCTION("""COMPUTED_VALUE"""),0.0)</f>
        <v>0</v>
      </c>
      <c r="L25" s="14" t="str">
        <f>IFERROR(__xludf.DUMMYFUNCTION("""COMPUTED_VALUE"""),"Pending ")</f>
        <v>Pending </v>
      </c>
      <c r="M25" s="20"/>
    </row>
    <row r="26">
      <c r="A26" s="14">
        <f>IFERROR(__xludf.DUMMYFUNCTION("""COMPUTED_VALUE"""),2506.0)</f>
        <v>2506</v>
      </c>
      <c r="B26" s="14" t="str">
        <f>IFERROR(__xludf.DUMMYFUNCTION("""COMPUTED_VALUE"""),"MR.SHANKAR")</f>
        <v>MR.SHANKAR</v>
      </c>
      <c r="C26" s="14">
        <f>IFERROR(__xludf.DUMMYFUNCTION("""COMPUTED_VALUE"""),9.443513115E9)</f>
        <v>9443513115</v>
      </c>
      <c r="D26" s="14" t="str">
        <f>IFERROR(__xludf.DUMMYFUNCTION("""COMPUTED_VALUE"""),"TITAN")</f>
        <v>TITAN</v>
      </c>
      <c r="E26" s="14" t="str">
        <f>IFERROR(__xludf.DUMMYFUNCTION("""COMPUTED_VALUE"""),"EDGE 1044YL(G)")</f>
        <v>EDGE 1044YL(G)</v>
      </c>
      <c r="F26" s="14"/>
      <c r="G26" s="21">
        <f>IFERROR(__xludf.DUMMYFUNCTION("""COMPUTED_VALUE"""),46032.0)</f>
        <v>46032</v>
      </c>
      <c r="H26" s="21">
        <f>IFERROR(__xludf.DUMMYFUNCTION("""COMPUTED_VALUE"""),46033.0)</f>
        <v>46033</v>
      </c>
      <c r="I26" s="14"/>
      <c r="J26" s="14"/>
      <c r="K26" s="14">
        <f>IFERROR(__xludf.DUMMYFUNCTION("""COMPUTED_VALUE"""),0.0)</f>
        <v>0</v>
      </c>
      <c r="L26" s="14" t="str">
        <f>IFERROR(__xludf.DUMMYFUNCTION("""COMPUTED_VALUE"""),"Delivered")</f>
        <v>Delivered</v>
      </c>
      <c r="M26" s="20"/>
    </row>
    <row r="27">
      <c r="A27" s="14">
        <f>IFERROR(__xludf.DUMMYFUNCTION("""COMPUTED_VALUE"""),2507.0)</f>
        <v>2507</v>
      </c>
      <c r="B27" s="14" t="str">
        <f>IFERROR(__xludf.DUMMYFUNCTION("""COMPUTED_VALUE"""),"MR.MUNIRAJ")</f>
        <v>MR.MUNIRAJ</v>
      </c>
      <c r="C27" s="14">
        <f>IFERROR(__xludf.DUMMYFUNCTION("""COMPUTED_VALUE"""),9.361892992E9)</f>
        <v>9361892992</v>
      </c>
      <c r="D27" s="14" t="str">
        <f>IFERROR(__xludf.DUMMYFUNCTION("""COMPUTED_VALUE"""),"FASTRACK")</f>
        <v>FASTRACK</v>
      </c>
      <c r="E27" s="14" t="str">
        <f>IFERROR(__xludf.DUMMYFUNCTION("""COMPUTED_VALUE"""),"38156NM(SMART)")</f>
        <v>38156NM(SMART)</v>
      </c>
      <c r="F27" s="14" t="str">
        <f>IFERROR(__xludf.DUMMYFUNCTION("""COMPUTED_VALUE"""),"DISPLAY")</f>
        <v>DISPLAY</v>
      </c>
      <c r="G27" s="21">
        <f>IFERROR(__xludf.DUMMYFUNCTION("""COMPUTED_VALUE"""),46033.0)</f>
        <v>46033</v>
      </c>
      <c r="H27" s="21">
        <f>IFERROR(__xludf.DUMMYFUNCTION("""COMPUTED_VALUE"""),46043.0)</f>
        <v>46043</v>
      </c>
      <c r="I27" s="14"/>
      <c r="J27" s="14"/>
      <c r="K27" s="14">
        <f>IFERROR(__xludf.DUMMYFUNCTION("""COMPUTED_VALUE"""),0.0)</f>
        <v>0</v>
      </c>
      <c r="L27" s="14" t="str">
        <f>IFERROR(__xludf.DUMMYFUNCTION("""COMPUTED_VALUE"""),"Pending ")</f>
        <v>Pending </v>
      </c>
      <c r="M27" s="20"/>
    </row>
    <row r="28">
      <c r="A28" s="14">
        <f>IFERROR(__xludf.DUMMYFUNCTION("""COMPUTED_VALUE"""),2508.0)</f>
        <v>2508</v>
      </c>
      <c r="B28" s="14" t="str">
        <f>IFERROR(__xludf.DUMMYFUNCTION("""COMPUTED_VALUE"""),"MR.KRISHNAN")</f>
        <v>MR.KRISHNAN</v>
      </c>
      <c r="C28" s="14">
        <f>IFERROR(__xludf.DUMMYFUNCTION("""COMPUTED_VALUE"""),9.788089279E9)</f>
        <v>9788089279</v>
      </c>
      <c r="D28" s="14" t="str">
        <f>IFERROR(__xludf.DUMMYFUNCTION("""COMPUTED_VALUE"""),"TITAN")</f>
        <v>TITAN</v>
      </c>
      <c r="E28" s="14" t="str">
        <f>IFERROR(__xludf.DUMMYFUNCTION("""COMPUTED_VALUE"""),"1311YM(G)")</f>
        <v>1311YM(G)</v>
      </c>
      <c r="F28" s="14" t="str">
        <f>IFERROR(__xludf.DUMMYFUNCTION("""COMPUTED_VALUE"""),"SERVICE")</f>
        <v>SERVICE</v>
      </c>
      <c r="G28" s="21">
        <f>IFERROR(__xludf.DUMMYFUNCTION("""COMPUTED_VALUE"""),46033.0)</f>
        <v>46033</v>
      </c>
      <c r="H28" s="21">
        <f>IFERROR(__xludf.DUMMYFUNCTION("""COMPUTED_VALUE"""),46036.0)</f>
        <v>46036</v>
      </c>
      <c r="I28" s="14"/>
      <c r="J28" s="14"/>
      <c r="K28" s="14">
        <f>IFERROR(__xludf.DUMMYFUNCTION("""COMPUTED_VALUE"""),0.0)</f>
        <v>0</v>
      </c>
      <c r="L28" s="14" t="str">
        <f>IFERROR(__xludf.DUMMYFUNCTION("""COMPUTED_VALUE"""),"Pending ")</f>
        <v>Pending </v>
      </c>
      <c r="M28" s="20"/>
    </row>
    <row r="29">
      <c r="A29" s="14">
        <f>IFERROR(__xludf.DUMMYFUNCTION("""COMPUTED_VALUE"""),2509.0)</f>
        <v>2509</v>
      </c>
      <c r="B29" s="14" t="str">
        <f>IFERROR(__xludf.DUMMYFUNCTION("""COMPUTED_VALUE"""),"MR.SARATHI")</f>
        <v>MR.SARATHI</v>
      </c>
      <c r="C29" s="14">
        <f>IFERROR(__xludf.DUMMYFUNCTION("""COMPUTED_VALUE"""),9.787929591E9)</f>
        <v>9787929591</v>
      </c>
      <c r="D29" s="14" t="str">
        <f>IFERROR(__xludf.DUMMYFUNCTION("""COMPUTED_VALUE"""),"SONATA")</f>
        <v>SONATA</v>
      </c>
      <c r="E29" s="14" t="str">
        <f>IFERROR(__xludf.DUMMYFUNCTION("""COMPUTED_VALUE"""),"7987SM(G)")</f>
        <v>7987SM(G)</v>
      </c>
      <c r="F29" s="14" t="str">
        <f>IFERROR(__xludf.DUMMYFUNCTION("""COMPUTED_VALUE"""),"SERVICE")</f>
        <v>SERVICE</v>
      </c>
      <c r="G29" s="21">
        <f>IFERROR(__xludf.DUMMYFUNCTION("""COMPUTED_VALUE"""),46034.0)</f>
        <v>46034</v>
      </c>
      <c r="H29" s="21">
        <f>IFERROR(__xludf.DUMMYFUNCTION("""COMPUTED_VALUE"""),46036.0)</f>
        <v>46036</v>
      </c>
      <c r="I29" s="14"/>
      <c r="J29" s="14"/>
      <c r="K29" s="14"/>
      <c r="L29" s="14" t="str">
        <f>IFERROR(__xludf.DUMMYFUNCTION("""COMPUTED_VALUE"""),"Pending ")</f>
        <v>Pending </v>
      </c>
      <c r="M29" s="20"/>
    </row>
    <row r="30">
      <c r="A30" s="14">
        <f>IFERROR(__xludf.DUMMYFUNCTION("""COMPUTED_VALUE"""),2510.0)</f>
        <v>2510</v>
      </c>
      <c r="B30" s="14" t="str">
        <f>IFERROR(__xludf.DUMMYFUNCTION("""COMPUTED_VALUE"""),"MR.MAHESWARAN")</f>
        <v>MR.MAHESWARAN</v>
      </c>
      <c r="C30" s="14">
        <f>IFERROR(__xludf.DUMMYFUNCTION("""COMPUTED_VALUE"""),9.489238128E9)</f>
        <v>9489238128</v>
      </c>
      <c r="D30" s="14" t="str">
        <f>IFERROR(__xludf.DUMMYFUNCTION("""COMPUTED_VALUE"""),"FASTRACK")</f>
        <v>FASTRACK</v>
      </c>
      <c r="E30" s="14" t="str">
        <f>IFERROR(__xludf.DUMMYFUNCTION("""COMPUTED_VALUE"""),"SMART")</f>
        <v>SMART</v>
      </c>
      <c r="F30" s="14" t="str">
        <f>IFERROR(__xludf.DUMMYFUNCTION("""COMPUTED_VALUE"""),"SALTRING")</f>
        <v>SALTRING</v>
      </c>
      <c r="G30" s="21">
        <f>IFERROR(__xludf.DUMMYFUNCTION("""COMPUTED_VALUE"""),46034.0)</f>
        <v>46034</v>
      </c>
      <c r="H30" s="21">
        <f>IFERROR(__xludf.DUMMYFUNCTION("""COMPUTED_VALUE"""),46036.0)</f>
        <v>46036</v>
      </c>
      <c r="I30" s="14"/>
      <c r="J30" s="14"/>
      <c r="K30" s="14"/>
      <c r="L30" s="14" t="str">
        <f>IFERROR(__xludf.DUMMYFUNCTION("""COMPUTED_VALUE"""),"Pending ")</f>
        <v>Pending </v>
      </c>
      <c r="M30" s="20"/>
    </row>
    <row r="31">
      <c r="A31" s="14">
        <f>IFERROR(__xludf.DUMMYFUNCTION("""COMPUTED_VALUE"""),2511.0)</f>
        <v>2511</v>
      </c>
      <c r="B31" s="14"/>
      <c r="C31" s="14"/>
      <c r="D31" s="14"/>
      <c r="E31" s="14"/>
      <c r="F31" s="14"/>
      <c r="G31" s="21"/>
      <c r="H31" s="21"/>
      <c r="I31" s="14"/>
      <c r="J31" s="14"/>
      <c r="K31" s="14"/>
      <c r="L31" s="14"/>
      <c r="M31" s="20"/>
    </row>
    <row r="32">
      <c r="A32" s="14">
        <f>IFERROR(__xludf.DUMMYFUNCTION("""COMPUTED_VALUE"""),1000.0)</f>
        <v>1000</v>
      </c>
      <c r="B32" s="14" t="str">
        <f>IFERROR(__xludf.DUMMYFUNCTION("""COMPUTED_VALUE"""),"Govinda Swmay")</f>
        <v>Govinda Swmay</v>
      </c>
      <c r="C32" s="14">
        <f>IFERROR(__xludf.DUMMYFUNCTION("""COMPUTED_VALUE"""),8.050556085E9)</f>
        <v>8050556085</v>
      </c>
      <c r="D32" s="14" t="str">
        <f>IFERROR(__xludf.DUMMYFUNCTION("""COMPUTED_VALUE"""),"TITAN")</f>
        <v>TITAN</v>
      </c>
      <c r="E32" s="14" t="str">
        <f>IFERROR(__xludf.DUMMYFUNCTION("""COMPUTED_VALUE"""),"9151YM\G")</f>
        <v>9151YM\G</v>
      </c>
      <c r="F32" s="14" t="str">
        <f>IFERROR(__xludf.DUMMYFUNCTION("""COMPUTED_VALUE"""),"MG+SERVICE+BATTERY (721)+Dial")</f>
        <v>MG+SERVICE+BATTERY (721)+Dial</v>
      </c>
      <c r="G32" s="21">
        <f>IFERROR(__xludf.DUMMYFUNCTION("""COMPUTED_VALUE"""),46211.0)</f>
        <v>46211</v>
      </c>
      <c r="H32" s="21">
        <f>IFERROR(__xludf.DUMMYFUNCTION("""COMPUTED_VALUE"""),46215.0)</f>
        <v>46215</v>
      </c>
      <c r="I32" s="14">
        <f>IFERROR(__xludf.DUMMYFUNCTION("""COMPUTED_VALUE"""),1000.0)</f>
        <v>1000</v>
      </c>
      <c r="J32" s="14"/>
      <c r="K32" s="14">
        <f>IFERROR(__xludf.DUMMYFUNCTION("""COMPUTED_VALUE"""),1000.0)</f>
        <v>1000</v>
      </c>
      <c r="L32" s="14"/>
      <c r="M32" s="20"/>
    </row>
    <row r="33">
      <c r="A33" s="14">
        <f>IFERROR(__xludf.DUMMYFUNCTION("""COMPUTED_VALUE"""),1001.0)</f>
        <v>1001</v>
      </c>
      <c r="B33" s="14" t="str">
        <f>IFERROR(__xludf.DUMMYFUNCTION("""COMPUTED_VALUE"""),"VIVEK")</f>
        <v>VIVEK</v>
      </c>
      <c r="C33" s="14">
        <f>IFERROR(__xludf.DUMMYFUNCTION("""COMPUTED_VALUE"""),8.870648564E9)</f>
        <v>8870648564</v>
      </c>
      <c r="D33" s="14" t="str">
        <f>IFERROR(__xludf.DUMMYFUNCTION("""COMPUTED_VALUE"""),"FASTRACK")</f>
        <v>FASTRACK</v>
      </c>
      <c r="E33" s="14" t="str">
        <f>IFERROR(__xludf.DUMMYFUNCTION("""COMPUTED_VALUE"""),"3287NM/G")</f>
        <v>3287NM/G</v>
      </c>
      <c r="F33" s="14" t="str">
        <f>IFERROR(__xludf.DUMMYFUNCTION("""COMPUTED_VALUE"""),"Battery(626)+ crown")</f>
        <v>Battery(626)+ crown</v>
      </c>
      <c r="G33" s="21">
        <f>IFERROR(__xludf.DUMMYFUNCTION("""COMPUTED_VALUE"""),46211.0)</f>
        <v>46211</v>
      </c>
      <c r="H33" s="21">
        <f>IFERROR(__xludf.DUMMYFUNCTION("""COMPUTED_VALUE"""),46212.0)</f>
        <v>46212</v>
      </c>
      <c r="I33" s="14">
        <f>IFERROR(__xludf.DUMMYFUNCTION("""COMPUTED_VALUE"""),350.0)</f>
        <v>350</v>
      </c>
      <c r="J33" s="14"/>
      <c r="K33" s="14">
        <f>IFERROR(__xludf.DUMMYFUNCTION("""COMPUTED_VALUE"""),350.0)</f>
        <v>350</v>
      </c>
      <c r="L33" s="14"/>
      <c r="M33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6.75"/>
    <col customWidth="1" min="4" max="4" width="24.75"/>
    <col customWidth="1" min="6" max="6" width="22.0"/>
    <col customWidth="1" min="7" max="7" width="19.5"/>
  </cols>
  <sheetData>
    <row r="1">
      <c r="A1" s="22"/>
      <c r="B1" s="23" t="s">
        <v>113</v>
      </c>
      <c r="C1" s="24"/>
      <c r="D1" s="24"/>
      <c r="E1" s="24"/>
      <c r="F1" s="24"/>
      <c r="G1" s="25"/>
    </row>
    <row r="2">
      <c r="A2" s="26"/>
      <c r="B2" s="27" t="s">
        <v>114</v>
      </c>
      <c r="C2" s="24"/>
      <c r="D2" s="24"/>
      <c r="E2" s="24"/>
      <c r="F2" s="24"/>
      <c r="G2" s="25"/>
    </row>
    <row r="3">
      <c r="A3" s="28"/>
      <c r="B3" s="27" t="s">
        <v>115</v>
      </c>
      <c r="C3" s="24"/>
      <c r="D3" s="24"/>
      <c r="E3" s="24"/>
      <c r="F3" s="24"/>
      <c r="G3" s="25"/>
    </row>
    <row r="4">
      <c r="A4" s="29" t="s">
        <v>116</v>
      </c>
      <c r="B4" s="27" t="s">
        <v>117</v>
      </c>
      <c r="C4" s="24"/>
      <c r="D4" s="24"/>
      <c r="E4" s="24"/>
      <c r="F4" s="24"/>
      <c r="G4" s="25"/>
    </row>
    <row r="5">
      <c r="A5" s="30" t="s">
        <v>0</v>
      </c>
      <c r="B5" s="31">
        <v>1001.0</v>
      </c>
      <c r="C5" s="32"/>
      <c r="D5" s="24"/>
      <c r="E5" s="24"/>
      <c r="F5" s="24"/>
      <c r="G5" s="25"/>
      <c r="H5" s="33"/>
    </row>
    <row r="6">
      <c r="A6" s="30" t="s">
        <v>1</v>
      </c>
      <c r="B6" s="34" t="str">
        <f t="array" ref="B6">IFERROR(XLOOKUP(B5,'All Service Data'!A:A,'All Service Data'!B:B),"")</f>
        <v>VIVEK</v>
      </c>
      <c r="C6" s="24"/>
      <c r="D6" s="24"/>
      <c r="E6" s="24"/>
      <c r="F6" s="24"/>
      <c r="G6" s="25"/>
    </row>
    <row r="7">
      <c r="A7" s="30" t="s">
        <v>2</v>
      </c>
      <c r="B7" s="34">
        <f t="array" ref="B7">IFERROR(XLOOKUP(B5,'All Service Data'!A:A,'All Service Data'!C:C),"")</f>
        <v>8870648564</v>
      </c>
      <c r="C7" s="24"/>
      <c r="D7" s="24"/>
      <c r="E7" s="24"/>
      <c r="F7" s="24"/>
      <c r="G7" s="25"/>
    </row>
    <row r="8">
      <c r="A8" s="30" t="s">
        <v>3</v>
      </c>
      <c r="B8" s="34" t="str">
        <f t="array" ref="B8">IFERROR(XLOOKUP(B5,'All Service Data'!A:A,'All Service Data'!D:D),"")</f>
        <v>FASTRACK</v>
      </c>
      <c r="C8" s="24"/>
      <c r="D8" s="24"/>
      <c r="E8" s="24"/>
      <c r="F8" s="24"/>
      <c r="G8" s="25"/>
      <c r="I8" s="35"/>
    </row>
    <row r="9">
      <c r="A9" s="30" t="s">
        <v>4</v>
      </c>
      <c r="B9" s="34" t="str">
        <f t="array" ref="B9">IFERROR(XLOOKUP(B5,'All Service Data'!A:A,'All Service Data'!E:E),"")</f>
        <v>3287NM/G</v>
      </c>
      <c r="C9" s="24"/>
      <c r="D9" s="24"/>
      <c r="E9" s="24"/>
      <c r="F9" s="24"/>
      <c r="G9" s="25"/>
    </row>
    <row r="10">
      <c r="A10" s="30" t="s">
        <v>5</v>
      </c>
      <c r="B10" s="34" t="str">
        <f t="array" ref="B10">IFERROR(XLOOKUP(B5,'All Service Data'!A:A,'All Service Data'!F:F),"")</f>
        <v>Battery(626)+ crown</v>
      </c>
      <c r="C10" s="24"/>
      <c r="D10" s="24"/>
      <c r="E10" s="24"/>
      <c r="F10" s="24"/>
      <c r="G10" s="25"/>
    </row>
    <row r="11">
      <c r="A11" s="36" t="s">
        <v>6</v>
      </c>
      <c r="B11" s="37" t="str">
        <f t="array" ref="B11">IFERROR(TEXT(XLOOKUP(B5,'All Service Data'!A:A,'All Service Data'!G:G),"dd-MMM-yyyy"),"")</f>
        <v>08-Jul-2026</v>
      </c>
      <c r="C11" s="25"/>
      <c r="D11" s="38" t="s">
        <v>7</v>
      </c>
      <c r="E11" s="37" t="str">
        <f t="array" ref="E11">IFERROR(TEXT(XLOOKUP(B5,'All Service Data'!A:A,'All Service Data'!H:H),"dd-MMM-yyyy"),"")</f>
        <v>09-Jul-2026</v>
      </c>
      <c r="F11" s="24"/>
      <c r="G11" s="25"/>
    </row>
    <row r="12">
      <c r="A12" s="30" t="s">
        <v>118</v>
      </c>
      <c r="B12" s="39">
        <f t="array" ref="B12">IFERROR(XLOOKUP(B5,'All Service Data'!A:A,'All Service Data'!I:I),"")</f>
        <v>350</v>
      </c>
      <c r="C12" s="25"/>
      <c r="D12" s="30" t="s">
        <v>119</v>
      </c>
      <c r="E12" s="40" t="str">
        <f t="array" ref="E12">IFERROR(XLOOKUP(B2,'All Service Data'!A:A,'All Service Data'!J:J),"")</f>
        <v/>
      </c>
      <c r="F12" s="41" t="s">
        <v>120</v>
      </c>
      <c r="G12" s="42">
        <f t="array" ref="G12">IFERROR(XLOOKUP(B5,'All Service Data'!A:A,'All Service Data'!K:K),"")</f>
        <v>350</v>
      </c>
    </row>
    <row r="13">
      <c r="A13" s="43" t="s">
        <v>121</v>
      </c>
      <c r="B13" s="44"/>
      <c r="C13" s="44"/>
      <c r="D13" s="45"/>
      <c r="E13" s="46" t="s">
        <v>122</v>
      </c>
      <c r="F13" s="44"/>
      <c r="G13" s="45"/>
    </row>
    <row r="14">
      <c r="A14" s="47"/>
      <c r="D14" s="48"/>
      <c r="E14" s="47"/>
      <c r="G14" s="48"/>
    </row>
    <row r="15">
      <c r="A15" s="47"/>
      <c r="D15" s="48"/>
      <c r="E15" s="47"/>
      <c r="G15" s="48"/>
    </row>
    <row r="16">
      <c r="A16" s="49"/>
      <c r="B16" s="50"/>
      <c r="C16" s="50"/>
      <c r="D16" s="51"/>
      <c r="E16" s="49"/>
      <c r="F16" s="50"/>
      <c r="G16" s="51"/>
    </row>
    <row r="17">
      <c r="B17" s="52"/>
    </row>
    <row r="18">
      <c r="B18" s="52"/>
    </row>
    <row r="19">
      <c r="B19" s="52"/>
    </row>
    <row r="20">
      <c r="B20" s="52"/>
    </row>
    <row r="21">
      <c r="B21" s="52"/>
    </row>
    <row r="22">
      <c r="B22" s="52"/>
    </row>
    <row r="23">
      <c r="B23" s="52"/>
    </row>
    <row r="24">
      <c r="B24" s="52"/>
    </row>
    <row r="25">
      <c r="B25" s="52"/>
    </row>
    <row r="26">
      <c r="B26" s="52"/>
    </row>
    <row r="27">
      <c r="B27" s="52"/>
    </row>
    <row r="28">
      <c r="B28" s="52"/>
    </row>
    <row r="29">
      <c r="B29" s="52"/>
    </row>
    <row r="30">
      <c r="B30" s="52"/>
    </row>
    <row r="31">
      <c r="B31" s="52"/>
    </row>
    <row r="32">
      <c r="B32" s="52"/>
    </row>
    <row r="33">
      <c r="B33" s="52"/>
    </row>
    <row r="34">
      <c r="B34" s="52"/>
    </row>
    <row r="35">
      <c r="B35" s="52"/>
    </row>
    <row r="36">
      <c r="B36" s="52"/>
    </row>
    <row r="37">
      <c r="B37" s="52"/>
    </row>
    <row r="38">
      <c r="B38" s="52"/>
    </row>
    <row r="39">
      <c r="B39" s="52"/>
    </row>
    <row r="40">
      <c r="B40" s="52"/>
    </row>
    <row r="41">
      <c r="B41" s="52"/>
    </row>
    <row r="42">
      <c r="B42" s="52"/>
    </row>
    <row r="43">
      <c r="B43" s="52"/>
    </row>
    <row r="44">
      <c r="B44" s="52"/>
    </row>
    <row r="45">
      <c r="B45" s="52"/>
    </row>
    <row r="46">
      <c r="B46" s="52"/>
    </row>
    <row r="47">
      <c r="B47" s="52"/>
    </row>
    <row r="48">
      <c r="B48" s="52"/>
    </row>
    <row r="49">
      <c r="B49" s="52"/>
    </row>
    <row r="50">
      <c r="B50" s="52"/>
    </row>
    <row r="51">
      <c r="B51" s="52"/>
    </row>
    <row r="52">
      <c r="B52" s="52"/>
    </row>
    <row r="53">
      <c r="B53" s="52"/>
    </row>
    <row r="54">
      <c r="B54" s="52"/>
    </row>
    <row r="55">
      <c r="B55" s="52"/>
    </row>
    <row r="56">
      <c r="B56" s="52"/>
    </row>
    <row r="57">
      <c r="B57" s="52"/>
    </row>
    <row r="58">
      <c r="B58" s="52"/>
    </row>
    <row r="59">
      <c r="B59" s="52"/>
    </row>
    <row r="60">
      <c r="B60" s="52"/>
    </row>
    <row r="61">
      <c r="B61" s="52"/>
    </row>
    <row r="62">
      <c r="B62" s="52"/>
    </row>
    <row r="63">
      <c r="B63" s="52"/>
    </row>
    <row r="64">
      <c r="B64" s="52"/>
    </row>
    <row r="65">
      <c r="B65" s="52"/>
    </row>
    <row r="66">
      <c r="B66" s="52"/>
    </row>
    <row r="67">
      <c r="B67" s="52"/>
    </row>
    <row r="68">
      <c r="B68" s="52"/>
    </row>
    <row r="69">
      <c r="B69" s="52"/>
    </row>
    <row r="70">
      <c r="B70" s="52"/>
    </row>
    <row r="71">
      <c r="B71" s="52"/>
    </row>
    <row r="72">
      <c r="B72" s="52"/>
    </row>
    <row r="73">
      <c r="B73" s="52"/>
    </row>
    <row r="74">
      <c r="B74" s="52"/>
    </row>
    <row r="75">
      <c r="B75" s="52"/>
    </row>
    <row r="76">
      <c r="B76" s="52"/>
    </row>
    <row r="77">
      <c r="B77" s="52"/>
    </row>
    <row r="78">
      <c r="B78" s="52"/>
    </row>
    <row r="79">
      <c r="B79" s="52"/>
    </row>
    <row r="80">
      <c r="B80" s="52"/>
    </row>
    <row r="81">
      <c r="B81" s="52"/>
    </row>
    <row r="82">
      <c r="B82" s="52"/>
    </row>
    <row r="83">
      <c r="B83" s="52"/>
    </row>
    <row r="84">
      <c r="B84" s="52"/>
    </row>
    <row r="85">
      <c r="B85" s="52"/>
    </row>
    <row r="86">
      <c r="B86" s="52"/>
    </row>
    <row r="87">
      <c r="B87" s="52"/>
    </row>
    <row r="88">
      <c r="B88" s="52"/>
    </row>
    <row r="89">
      <c r="B89" s="52"/>
    </row>
    <row r="90">
      <c r="B90" s="52"/>
    </row>
    <row r="91">
      <c r="B91" s="52"/>
    </row>
    <row r="92">
      <c r="B92" s="52"/>
    </row>
    <row r="93">
      <c r="B93" s="52"/>
    </row>
    <row r="94">
      <c r="B94" s="52"/>
    </row>
    <row r="95">
      <c r="B95" s="52"/>
    </row>
    <row r="96">
      <c r="B96" s="52"/>
    </row>
    <row r="97">
      <c r="B97" s="52"/>
    </row>
    <row r="98">
      <c r="B98" s="52"/>
    </row>
    <row r="99">
      <c r="B99" s="52"/>
    </row>
    <row r="100">
      <c r="B100" s="52"/>
    </row>
    <row r="101">
      <c r="B101" s="52"/>
    </row>
    <row r="102">
      <c r="B102" s="52"/>
    </row>
    <row r="103">
      <c r="B103" s="52"/>
    </row>
    <row r="104">
      <c r="B104" s="52"/>
    </row>
    <row r="105">
      <c r="B105" s="52"/>
    </row>
    <row r="106">
      <c r="B106" s="52"/>
    </row>
    <row r="107">
      <c r="B107" s="52"/>
    </row>
    <row r="108">
      <c r="B108" s="52"/>
    </row>
    <row r="109">
      <c r="B109" s="52"/>
    </row>
    <row r="110">
      <c r="B110" s="52"/>
    </row>
    <row r="111">
      <c r="B111" s="52"/>
    </row>
    <row r="112">
      <c r="B112" s="52"/>
    </row>
    <row r="113">
      <c r="B113" s="52"/>
    </row>
    <row r="114">
      <c r="B114" s="52"/>
    </row>
    <row r="115">
      <c r="B115" s="52"/>
    </row>
    <row r="116">
      <c r="B116" s="52"/>
    </row>
    <row r="117">
      <c r="B117" s="52"/>
    </row>
    <row r="118">
      <c r="B118" s="52"/>
    </row>
    <row r="119">
      <c r="B119" s="52"/>
    </row>
    <row r="120">
      <c r="B120" s="52"/>
    </row>
    <row r="121">
      <c r="B121" s="52"/>
    </row>
    <row r="122">
      <c r="B122" s="52"/>
    </row>
    <row r="123">
      <c r="B123" s="52"/>
    </row>
    <row r="124">
      <c r="B124" s="52"/>
    </row>
    <row r="125">
      <c r="B125" s="52"/>
    </row>
    <row r="126">
      <c r="B126" s="52"/>
    </row>
    <row r="127">
      <c r="B127" s="52"/>
    </row>
    <row r="128">
      <c r="B128" s="52"/>
    </row>
    <row r="129">
      <c r="B129" s="52"/>
    </row>
    <row r="130">
      <c r="B130" s="52"/>
    </row>
    <row r="131">
      <c r="B131" s="52"/>
    </row>
    <row r="132">
      <c r="B132" s="52"/>
    </row>
    <row r="133">
      <c r="B133" s="52"/>
    </row>
    <row r="134">
      <c r="B134" s="52"/>
    </row>
    <row r="135">
      <c r="B135" s="52"/>
    </row>
    <row r="136">
      <c r="B136" s="52"/>
    </row>
    <row r="137">
      <c r="B137" s="52"/>
    </row>
    <row r="138">
      <c r="B138" s="52"/>
    </row>
    <row r="139">
      <c r="B139" s="52"/>
    </row>
    <row r="140">
      <c r="B140" s="52"/>
    </row>
    <row r="141">
      <c r="B141" s="52"/>
    </row>
    <row r="142">
      <c r="B142" s="52"/>
    </row>
    <row r="143">
      <c r="B143" s="52"/>
    </row>
    <row r="144">
      <c r="B144" s="52"/>
    </row>
    <row r="145">
      <c r="B145" s="52"/>
    </row>
    <row r="146">
      <c r="B146" s="52"/>
    </row>
    <row r="147">
      <c r="B147" s="52"/>
    </row>
    <row r="148">
      <c r="B148" s="52"/>
    </row>
    <row r="149">
      <c r="B149" s="52"/>
    </row>
    <row r="150">
      <c r="B150" s="52"/>
    </row>
    <row r="151">
      <c r="B151" s="52"/>
    </row>
    <row r="152">
      <c r="B152" s="52"/>
    </row>
    <row r="153">
      <c r="B153" s="52"/>
    </row>
    <row r="154">
      <c r="B154" s="52"/>
    </row>
    <row r="155">
      <c r="B155" s="52"/>
    </row>
    <row r="156">
      <c r="B156" s="52"/>
    </row>
    <row r="157">
      <c r="B157" s="52"/>
    </row>
    <row r="158">
      <c r="B158" s="52"/>
    </row>
    <row r="159">
      <c r="B159" s="52"/>
    </row>
    <row r="160">
      <c r="B160" s="52"/>
    </row>
    <row r="161">
      <c r="B161" s="52"/>
    </row>
    <row r="162">
      <c r="B162" s="52"/>
    </row>
    <row r="163">
      <c r="B163" s="52"/>
    </row>
    <row r="164">
      <c r="B164" s="52"/>
    </row>
    <row r="165">
      <c r="B165" s="52"/>
    </row>
    <row r="166">
      <c r="B166" s="52"/>
    </row>
    <row r="167">
      <c r="B167" s="52"/>
    </row>
    <row r="168">
      <c r="B168" s="52"/>
    </row>
    <row r="169">
      <c r="B169" s="52"/>
    </row>
    <row r="170">
      <c r="B170" s="52"/>
    </row>
    <row r="171">
      <c r="B171" s="52"/>
    </row>
    <row r="172">
      <c r="B172" s="52"/>
    </row>
    <row r="173">
      <c r="B173" s="52"/>
    </row>
    <row r="174">
      <c r="B174" s="52"/>
    </row>
    <row r="175">
      <c r="B175" s="52"/>
    </row>
    <row r="176">
      <c r="B176" s="52"/>
    </row>
    <row r="177">
      <c r="B177" s="52"/>
    </row>
    <row r="178">
      <c r="B178" s="52"/>
    </row>
    <row r="179">
      <c r="B179" s="52"/>
    </row>
    <row r="180">
      <c r="B180" s="52"/>
    </row>
    <row r="181">
      <c r="B181" s="52"/>
    </row>
    <row r="182">
      <c r="B182" s="52"/>
    </row>
    <row r="183">
      <c r="B183" s="52"/>
    </row>
    <row r="184">
      <c r="B184" s="52"/>
    </row>
    <row r="185">
      <c r="B185" s="52"/>
    </row>
    <row r="186">
      <c r="B186" s="52"/>
    </row>
    <row r="187">
      <c r="B187" s="52"/>
    </row>
    <row r="188">
      <c r="B188" s="52"/>
    </row>
    <row r="189">
      <c r="B189" s="52"/>
    </row>
    <row r="190">
      <c r="B190" s="52"/>
    </row>
    <row r="191">
      <c r="B191" s="52"/>
    </row>
    <row r="192">
      <c r="B192" s="52"/>
    </row>
    <row r="193">
      <c r="B193" s="52"/>
    </row>
    <row r="194">
      <c r="B194" s="52"/>
    </row>
    <row r="195">
      <c r="B195" s="52"/>
    </row>
    <row r="196">
      <c r="B196" s="52"/>
    </row>
    <row r="197">
      <c r="B197" s="52"/>
    </row>
    <row r="198">
      <c r="B198" s="52"/>
    </row>
    <row r="199">
      <c r="B199" s="52"/>
    </row>
    <row r="200">
      <c r="B200" s="52"/>
    </row>
    <row r="201">
      <c r="B201" s="52"/>
    </row>
    <row r="202">
      <c r="B202" s="52"/>
    </row>
    <row r="203">
      <c r="B203" s="52"/>
    </row>
    <row r="204">
      <c r="B204" s="52"/>
    </row>
    <row r="205">
      <c r="B205" s="52"/>
    </row>
    <row r="206">
      <c r="B206" s="52"/>
    </row>
    <row r="207">
      <c r="B207" s="52"/>
    </row>
    <row r="208">
      <c r="B208" s="52"/>
    </row>
    <row r="209">
      <c r="B209" s="52"/>
    </row>
    <row r="210">
      <c r="B210" s="52"/>
    </row>
    <row r="211">
      <c r="B211" s="52"/>
    </row>
    <row r="212">
      <c r="B212" s="52"/>
    </row>
    <row r="213">
      <c r="B213" s="52"/>
    </row>
    <row r="214">
      <c r="B214" s="52"/>
    </row>
    <row r="215">
      <c r="B215" s="52"/>
    </row>
    <row r="216">
      <c r="B216" s="52"/>
    </row>
    <row r="217">
      <c r="B217" s="52"/>
    </row>
    <row r="218">
      <c r="B218" s="52"/>
    </row>
    <row r="219">
      <c r="B219" s="52"/>
    </row>
    <row r="220">
      <c r="B220" s="52"/>
    </row>
    <row r="221">
      <c r="B221" s="52"/>
    </row>
    <row r="222">
      <c r="B222" s="52"/>
    </row>
    <row r="223">
      <c r="B223" s="52"/>
    </row>
    <row r="224">
      <c r="B224" s="52"/>
    </row>
    <row r="225">
      <c r="B225" s="52"/>
    </row>
    <row r="226">
      <c r="B226" s="52"/>
    </row>
    <row r="227">
      <c r="B227" s="52"/>
    </row>
    <row r="228">
      <c r="B228" s="52"/>
    </row>
    <row r="229">
      <c r="B229" s="52"/>
    </row>
    <row r="230">
      <c r="B230" s="52"/>
    </row>
    <row r="231">
      <c r="B231" s="52"/>
    </row>
    <row r="232">
      <c r="B232" s="52"/>
    </row>
    <row r="233">
      <c r="B233" s="52"/>
    </row>
    <row r="234">
      <c r="B234" s="52"/>
    </row>
    <row r="235">
      <c r="B235" s="52"/>
    </row>
    <row r="236">
      <c r="B236" s="52"/>
    </row>
    <row r="237">
      <c r="B237" s="52"/>
    </row>
    <row r="238">
      <c r="B238" s="52"/>
    </row>
    <row r="239">
      <c r="B239" s="52"/>
    </row>
    <row r="240">
      <c r="B240" s="52"/>
    </row>
    <row r="241">
      <c r="B241" s="52"/>
    </row>
    <row r="242">
      <c r="B242" s="52"/>
    </row>
    <row r="243">
      <c r="B243" s="52"/>
    </row>
    <row r="244">
      <c r="B244" s="52"/>
    </row>
    <row r="245">
      <c r="B245" s="52"/>
    </row>
    <row r="246">
      <c r="B246" s="52"/>
    </row>
    <row r="247">
      <c r="B247" s="52"/>
    </row>
    <row r="248">
      <c r="B248" s="52"/>
    </row>
    <row r="249">
      <c r="B249" s="52"/>
    </row>
    <row r="250">
      <c r="B250" s="52"/>
    </row>
    <row r="251">
      <c r="B251" s="52"/>
    </row>
    <row r="252">
      <c r="B252" s="52"/>
    </row>
    <row r="253">
      <c r="B253" s="52"/>
    </row>
    <row r="254">
      <c r="B254" s="52"/>
    </row>
    <row r="255">
      <c r="B255" s="52"/>
    </row>
    <row r="256">
      <c r="B256" s="52"/>
    </row>
    <row r="257">
      <c r="B257" s="52"/>
    </row>
    <row r="258">
      <c r="B258" s="52"/>
    </row>
    <row r="259">
      <c r="B259" s="52"/>
    </row>
    <row r="260">
      <c r="B260" s="52"/>
    </row>
    <row r="261">
      <c r="B261" s="52"/>
    </row>
    <row r="262">
      <c r="B262" s="52"/>
    </row>
    <row r="263">
      <c r="B263" s="52"/>
    </row>
    <row r="264">
      <c r="B264" s="52"/>
    </row>
    <row r="265">
      <c r="B265" s="52"/>
    </row>
    <row r="266">
      <c r="B266" s="52"/>
    </row>
    <row r="267">
      <c r="B267" s="52"/>
    </row>
    <row r="268">
      <c r="B268" s="52"/>
    </row>
    <row r="269">
      <c r="B269" s="52"/>
    </row>
    <row r="270">
      <c r="B270" s="52"/>
    </row>
    <row r="271">
      <c r="B271" s="52"/>
    </row>
    <row r="272">
      <c r="B272" s="52"/>
    </row>
    <row r="273">
      <c r="B273" s="52"/>
    </row>
    <row r="274">
      <c r="B274" s="52"/>
    </row>
    <row r="275">
      <c r="B275" s="52"/>
    </row>
    <row r="276">
      <c r="B276" s="52"/>
    </row>
    <row r="277">
      <c r="B277" s="52"/>
    </row>
    <row r="278">
      <c r="B278" s="52"/>
    </row>
    <row r="279">
      <c r="B279" s="52"/>
    </row>
    <row r="280">
      <c r="B280" s="52"/>
    </row>
    <row r="281">
      <c r="B281" s="52"/>
    </row>
    <row r="282">
      <c r="B282" s="52"/>
    </row>
    <row r="283">
      <c r="B283" s="52"/>
    </row>
    <row r="284">
      <c r="B284" s="52"/>
    </row>
    <row r="285">
      <c r="B285" s="52"/>
    </row>
    <row r="286">
      <c r="B286" s="52"/>
    </row>
    <row r="287">
      <c r="B287" s="52"/>
    </row>
    <row r="288">
      <c r="B288" s="52"/>
    </row>
    <row r="289">
      <c r="B289" s="52"/>
    </row>
    <row r="290">
      <c r="B290" s="52"/>
    </row>
    <row r="291">
      <c r="B291" s="52"/>
    </row>
    <row r="292">
      <c r="B292" s="52"/>
    </row>
    <row r="293">
      <c r="B293" s="52"/>
    </row>
    <row r="294">
      <c r="B294" s="52"/>
    </row>
    <row r="295">
      <c r="B295" s="52"/>
    </row>
    <row r="296">
      <c r="B296" s="52"/>
    </row>
    <row r="297">
      <c r="B297" s="52"/>
    </row>
    <row r="298">
      <c r="B298" s="52"/>
    </row>
    <row r="299">
      <c r="B299" s="52"/>
    </row>
    <row r="300">
      <c r="B300" s="52"/>
    </row>
    <row r="301">
      <c r="B301" s="52"/>
    </row>
    <row r="302">
      <c r="B302" s="52"/>
    </row>
    <row r="303">
      <c r="B303" s="52"/>
    </row>
    <row r="304">
      <c r="B304" s="52"/>
    </row>
    <row r="305">
      <c r="B305" s="52"/>
    </row>
    <row r="306">
      <c r="B306" s="52"/>
    </row>
    <row r="307">
      <c r="B307" s="52"/>
    </row>
    <row r="308">
      <c r="B308" s="52"/>
    </row>
    <row r="309">
      <c r="B309" s="52"/>
    </row>
    <row r="310">
      <c r="B310" s="52"/>
    </row>
    <row r="311">
      <c r="B311" s="52"/>
    </row>
    <row r="312">
      <c r="B312" s="52"/>
    </row>
    <row r="313">
      <c r="B313" s="52"/>
    </row>
    <row r="314">
      <c r="B314" s="52"/>
    </row>
    <row r="315">
      <c r="B315" s="52"/>
    </row>
    <row r="316">
      <c r="B316" s="52"/>
    </row>
    <row r="317">
      <c r="B317" s="52"/>
    </row>
    <row r="318">
      <c r="B318" s="52"/>
    </row>
    <row r="319">
      <c r="B319" s="52"/>
    </row>
    <row r="320">
      <c r="B320" s="52"/>
    </row>
    <row r="321">
      <c r="B321" s="52"/>
    </row>
    <row r="322">
      <c r="B322" s="52"/>
    </row>
    <row r="323">
      <c r="B323" s="52"/>
    </row>
    <row r="324">
      <c r="B324" s="52"/>
    </row>
    <row r="325">
      <c r="B325" s="52"/>
    </row>
    <row r="326">
      <c r="B326" s="52"/>
    </row>
    <row r="327">
      <c r="B327" s="52"/>
    </row>
    <row r="328">
      <c r="B328" s="52"/>
    </row>
    <row r="329">
      <c r="B329" s="52"/>
    </row>
    <row r="330">
      <c r="B330" s="52"/>
    </row>
    <row r="331">
      <c r="B331" s="52"/>
    </row>
    <row r="332">
      <c r="B332" s="52"/>
    </row>
    <row r="333">
      <c r="B333" s="52"/>
    </row>
    <row r="334">
      <c r="B334" s="52"/>
    </row>
    <row r="335">
      <c r="B335" s="52"/>
    </row>
    <row r="336">
      <c r="B336" s="52"/>
    </row>
    <row r="337">
      <c r="B337" s="52"/>
    </row>
    <row r="338">
      <c r="B338" s="52"/>
    </row>
    <row r="339">
      <c r="B339" s="52"/>
    </row>
    <row r="340">
      <c r="B340" s="52"/>
    </row>
    <row r="341">
      <c r="B341" s="52"/>
    </row>
    <row r="342">
      <c r="B342" s="52"/>
    </row>
    <row r="343">
      <c r="B343" s="52"/>
    </row>
    <row r="344">
      <c r="B344" s="52"/>
    </row>
    <row r="345">
      <c r="B345" s="52"/>
    </row>
    <row r="346">
      <c r="B346" s="52"/>
    </row>
    <row r="347">
      <c r="B347" s="52"/>
    </row>
    <row r="348">
      <c r="B348" s="52"/>
    </row>
    <row r="349">
      <c r="B349" s="52"/>
    </row>
    <row r="350">
      <c r="B350" s="52"/>
    </row>
    <row r="351">
      <c r="B351" s="52"/>
    </row>
    <row r="352">
      <c r="B352" s="52"/>
    </row>
    <row r="353">
      <c r="B353" s="52"/>
    </row>
    <row r="354">
      <c r="B354" s="52"/>
    </row>
    <row r="355">
      <c r="B355" s="52"/>
    </row>
    <row r="356">
      <c r="B356" s="52"/>
    </row>
    <row r="357">
      <c r="B357" s="52"/>
    </row>
    <row r="358">
      <c r="B358" s="52"/>
    </row>
    <row r="359">
      <c r="B359" s="52"/>
    </row>
    <row r="360">
      <c r="B360" s="52"/>
    </row>
    <row r="361">
      <c r="B361" s="52"/>
    </row>
    <row r="362">
      <c r="B362" s="52"/>
    </row>
    <row r="363">
      <c r="B363" s="52"/>
    </row>
    <row r="364">
      <c r="B364" s="52"/>
    </row>
    <row r="365">
      <c r="B365" s="52"/>
    </row>
    <row r="366">
      <c r="B366" s="52"/>
    </row>
    <row r="367">
      <c r="B367" s="52"/>
    </row>
    <row r="368">
      <c r="B368" s="52"/>
    </row>
    <row r="369">
      <c r="B369" s="52"/>
    </row>
    <row r="370">
      <c r="B370" s="52"/>
    </row>
    <row r="371">
      <c r="B371" s="52"/>
    </row>
    <row r="372">
      <c r="B372" s="52"/>
    </row>
    <row r="373">
      <c r="B373" s="52"/>
    </row>
    <row r="374">
      <c r="B374" s="52"/>
    </row>
    <row r="375">
      <c r="B375" s="52"/>
    </row>
    <row r="376">
      <c r="B376" s="52"/>
    </row>
    <row r="377">
      <c r="B377" s="52"/>
    </row>
    <row r="378">
      <c r="B378" s="52"/>
    </row>
    <row r="379">
      <c r="B379" s="52"/>
    </row>
    <row r="380">
      <c r="B380" s="52"/>
    </row>
    <row r="381">
      <c r="B381" s="52"/>
    </row>
    <row r="382">
      <c r="B382" s="52"/>
    </row>
    <row r="383">
      <c r="B383" s="52"/>
    </row>
    <row r="384">
      <c r="B384" s="52"/>
    </row>
    <row r="385">
      <c r="B385" s="52"/>
    </row>
    <row r="386">
      <c r="B386" s="52"/>
    </row>
    <row r="387">
      <c r="B387" s="52"/>
    </row>
    <row r="388">
      <c r="B388" s="52"/>
    </row>
    <row r="389">
      <c r="B389" s="52"/>
    </row>
    <row r="390">
      <c r="B390" s="52"/>
    </row>
    <row r="391">
      <c r="B391" s="52"/>
    </row>
    <row r="392">
      <c r="B392" s="52"/>
    </row>
    <row r="393">
      <c r="B393" s="52"/>
    </row>
    <row r="394">
      <c r="B394" s="52"/>
    </row>
    <row r="395">
      <c r="B395" s="52"/>
    </row>
    <row r="396">
      <c r="B396" s="52"/>
    </row>
    <row r="397">
      <c r="B397" s="52"/>
    </row>
    <row r="398">
      <c r="B398" s="52"/>
    </row>
    <row r="399">
      <c r="B399" s="52"/>
    </row>
    <row r="400">
      <c r="B400" s="52"/>
    </row>
    <row r="401">
      <c r="B401" s="52"/>
    </row>
    <row r="402">
      <c r="B402" s="52"/>
    </row>
    <row r="403">
      <c r="B403" s="52"/>
    </row>
    <row r="404">
      <c r="B404" s="52"/>
    </row>
    <row r="405">
      <c r="B405" s="52"/>
    </row>
    <row r="406">
      <c r="B406" s="52"/>
    </row>
    <row r="407">
      <c r="B407" s="52"/>
    </row>
    <row r="408">
      <c r="B408" s="52"/>
    </row>
    <row r="409">
      <c r="B409" s="52"/>
    </row>
    <row r="410">
      <c r="B410" s="52"/>
    </row>
    <row r="411">
      <c r="B411" s="52"/>
    </row>
    <row r="412">
      <c r="B412" s="52"/>
    </row>
    <row r="413">
      <c r="B413" s="52"/>
    </row>
    <row r="414">
      <c r="B414" s="52"/>
    </row>
    <row r="415">
      <c r="B415" s="52"/>
    </row>
    <row r="416">
      <c r="B416" s="52"/>
    </row>
    <row r="417">
      <c r="B417" s="52"/>
    </row>
    <row r="418">
      <c r="B418" s="52"/>
    </row>
    <row r="419">
      <c r="B419" s="52"/>
    </row>
    <row r="420">
      <c r="B420" s="52"/>
    </row>
    <row r="421">
      <c r="B421" s="52"/>
    </row>
    <row r="422">
      <c r="B422" s="52"/>
    </row>
    <row r="423">
      <c r="B423" s="52"/>
    </row>
    <row r="424">
      <c r="B424" s="52"/>
    </row>
    <row r="425">
      <c r="B425" s="52"/>
    </row>
    <row r="426">
      <c r="B426" s="52"/>
    </row>
    <row r="427">
      <c r="B427" s="52"/>
    </row>
    <row r="428">
      <c r="B428" s="52"/>
    </row>
    <row r="429">
      <c r="B429" s="52"/>
    </row>
    <row r="430">
      <c r="B430" s="52"/>
    </row>
    <row r="431">
      <c r="B431" s="52"/>
    </row>
    <row r="432">
      <c r="B432" s="52"/>
    </row>
    <row r="433">
      <c r="B433" s="52"/>
    </row>
    <row r="434">
      <c r="B434" s="52"/>
    </row>
    <row r="435">
      <c r="B435" s="52"/>
    </row>
    <row r="436">
      <c r="B436" s="52"/>
    </row>
    <row r="437">
      <c r="B437" s="52"/>
    </row>
    <row r="438">
      <c r="B438" s="52"/>
    </row>
    <row r="439">
      <c r="B439" s="52"/>
    </row>
    <row r="440">
      <c r="B440" s="52"/>
    </row>
    <row r="441">
      <c r="B441" s="52"/>
    </row>
    <row r="442">
      <c r="B442" s="52"/>
    </row>
    <row r="443">
      <c r="B443" s="52"/>
    </row>
    <row r="444">
      <c r="B444" s="52"/>
    </row>
    <row r="445">
      <c r="B445" s="52"/>
    </row>
    <row r="446">
      <c r="B446" s="52"/>
    </row>
    <row r="447">
      <c r="B447" s="52"/>
    </row>
    <row r="448">
      <c r="B448" s="52"/>
    </row>
    <row r="449">
      <c r="B449" s="52"/>
    </row>
    <row r="450">
      <c r="B450" s="52"/>
    </row>
    <row r="451">
      <c r="B451" s="52"/>
    </row>
    <row r="452">
      <c r="B452" s="52"/>
    </row>
    <row r="453">
      <c r="B453" s="52"/>
    </row>
    <row r="454">
      <c r="B454" s="52"/>
    </row>
    <row r="455">
      <c r="B455" s="52"/>
    </row>
    <row r="456">
      <c r="B456" s="52"/>
    </row>
    <row r="457">
      <c r="B457" s="52"/>
    </row>
    <row r="458">
      <c r="B458" s="52"/>
    </row>
    <row r="459">
      <c r="B459" s="52"/>
    </row>
    <row r="460">
      <c r="B460" s="52"/>
    </row>
    <row r="461">
      <c r="B461" s="52"/>
    </row>
    <row r="462">
      <c r="B462" s="52"/>
    </row>
    <row r="463">
      <c r="B463" s="52"/>
    </row>
    <row r="464">
      <c r="B464" s="52"/>
    </row>
    <row r="465">
      <c r="B465" s="52"/>
    </row>
    <row r="466">
      <c r="B466" s="52"/>
    </row>
    <row r="467">
      <c r="B467" s="52"/>
    </row>
    <row r="468">
      <c r="B468" s="52"/>
    </row>
    <row r="469">
      <c r="B469" s="52"/>
    </row>
    <row r="470">
      <c r="B470" s="52"/>
    </row>
    <row r="471">
      <c r="B471" s="52"/>
    </row>
    <row r="472">
      <c r="B472" s="52"/>
    </row>
    <row r="473">
      <c r="B473" s="52"/>
    </row>
    <row r="474">
      <c r="B474" s="52"/>
    </row>
    <row r="475">
      <c r="B475" s="52"/>
    </row>
    <row r="476">
      <c r="B476" s="52"/>
    </row>
    <row r="477">
      <c r="B477" s="52"/>
    </row>
    <row r="478">
      <c r="B478" s="52"/>
    </row>
    <row r="479">
      <c r="B479" s="52"/>
    </row>
    <row r="480">
      <c r="B480" s="52"/>
    </row>
    <row r="481">
      <c r="B481" s="52"/>
    </row>
    <row r="482">
      <c r="B482" s="52"/>
    </row>
    <row r="483">
      <c r="B483" s="52"/>
    </row>
    <row r="484">
      <c r="B484" s="52"/>
    </row>
    <row r="485">
      <c r="B485" s="52"/>
    </row>
    <row r="486">
      <c r="B486" s="52"/>
    </row>
    <row r="487">
      <c r="B487" s="52"/>
    </row>
    <row r="488">
      <c r="B488" s="52"/>
    </row>
    <row r="489">
      <c r="B489" s="52"/>
    </row>
    <row r="490">
      <c r="B490" s="52"/>
    </row>
    <row r="491">
      <c r="B491" s="52"/>
    </row>
    <row r="492">
      <c r="B492" s="52"/>
    </row>
    <row r="493">
      <c r="B493" s="52"/>
    </row>
    <row r="494">
      <c r="B494" s="52"/>
    </row>
    <row r="495">
      <c r="B495" s="52"/>
    </row>
    <row r="496">
      <c r="B496" s="52"/>
    </row>
    <row r="497">
      <c r="B497" s="52"/>
    </row>
    <row r="498">
      <c r="B498" s="52"/>
    </row>
    <row r="499">
      <c r="B499" s="52"/>
    </row>
    <row r="500">
      <c r="B500" s="52"/>
    </row>
    <row r="501">
      <c r="B501" s="52"/>
    </row>
    <row r="502">
      <c r="B502" s="52"/>
    </row>
    <row r="503">
      <c r="B503" s="52"/>
    </row>
    <row r="504">
      <c r="B504" s="52"/>
    </row>
    <row r="505">
      <c r="B505" s="52"/>
    </row>
    <row r="506">
      <c r="B506" s="52"/>
    </row>
    <row r="507">
      <c r="B507" s="52"/>
    </row>
    <row r="508">
      <c r="B508" s="52"/>
    </row>
    <row r="509">
      <c r="B509" s="52"/>
    </row>
    <row r="510">
      <c r="B510" s="52"/>
    </row>
    <row r="511">
      <c r="B511" s="52"/>
    </row>
    <row r="512">
      <c r="B512" s="52"/>
    </row>
    <row r="513">
      <c r="B513" s="52"/>
    </row>
    <row r="514">
      <c r="B514" s="52"/>
    </row>
    <row r="515">
      <c r="B515" s="52"/>
    </row>
    <row r="516">
      <c r="B516" s="52"/>
    </row>
    <row r="517">
      <c r="B517" s="52"/>
    </row>
    <row r="518">
      <c r="B518" s="52"/>
    </row>
    <row r="519">
      <c r="B519" s="52"/>
    </row>
    <row r="520">
      <c r="B520" s="52"/>
    </row>
    <row r="521">
      <c r="B521" s="52"/>
    </row>
    <row r="522">
      <c r="B522" s="52"/>
    </row>
    <row r="523">
      <c r="B523" s="52"/>
    </row>
    <row r="524">
      <c r="B524" s="52"/>
    </row>
    <row r="525">
      <c r="B525" s="52"/>
    </row>
    <row r="526">
      <c r="B526" s="52"/>
    </row>
    <row r="527">
      <c r="B527" s="52"/>
    </row>
    <row r="528">
      <c r="B528" s="52"/>
    </row>
    <row r="529">
      <c r="B529" s="52"/>
    </row>
    <row r="530">
      <c r="B530" s="52"/>
    </row>
    <row r="531">
      <c r="B531" s="52"/>
    </row>
    <row r="532">
      <c r="B532" s="52"/>
    </row>
    <row r="533">
      <c r="B533" s="52"/>
    </row>
    <row r="534">
      <c r="B534" s="52"/>
    </row>
    <row r="535">
      <c r="B535" s="52"/>
    </row>
    <row r="536">
      <c r="B536" s="52"/>
    </row>
    <row r="537">
      <c r="B537" s="52"/>
    </row>
    <row r="538">
      <c r="B538" s="52"/>
    </row>
    <row r="539">
      <c r="B539" s="52"/>
    </row>
    <row r="540">
      <c r="B540" s="52"/>
    </row>
    <row r="541">
      <c r="B541" s="52"/>
    </row>
    <row r="542">
      <c r="B542" s="52"/>
    </row>
    <row r="543">
      <c r="B543" s="52"/>
    </row>
    <row r="544">
      <c r="B544" s="52"/>
    </row>
    <row r="545">
      <c r="B545" s="52"/>
    </row>
    <row r="546">
      <c r="B546" s="52"/>
    </row>
    <row r="547">
      <c r="B547" s="52"/>
    </row>
    <row r="548">
      <c r="B548" s="52"/>
    </row>
    <row r="549">
      <c r="B549" s="52"/>
    </row>
    <row r="550">
      <c r="B550" s="52"/>
    </row>
    <row r="551">
      <c r="B551" s="52"/>
    </row>
    <row r="552">
      <c r="B552" s="52"/>
    </row>
    <row r="553">
      <c r="B553" s="52"/>
    </row>
    <row r="554">
      <c r="B554" s="52"/>
    </row>
    <row r="555">
      <c r="B555" s="52"/>
    </row>
    <row r="556">
      <c r="B556" s="52"/>
    </row>
    <row r="557">
      <c r="B557" s="52"/>
    </row>
    <row r="558">
      <c r="B558" s="52"/>
    </row>
    <row r="559">
      <c r="B559" s="52"/>
    </row>
    <row r="560">
      <c r="B560" s="52"/>
    </row>
    <row r="561">
      <c r="B561" s="52"/>
    </row>
    <row r="562">
      <c r="B562" s="52"/>
    </row>
    <row r="563">
      <c r="B563" s="52"/>
    </row>
    <row r="564">
      <c r="B564" s="52"/>
    </row>
    <row r="565">
      <c r="B565" s="52"/>
    </row>
    <row r="566">
      <c r="B566" s="52"/>
    </row>
    <row r="567">
      <c r="B567" s="52"/>
    </row>
    <row r="568">
      <c r="B568" s="52"/>
    </row>
    <row r="569">
      <c r="B569" s="52"/>
    </row>
    <row r="570">
      <c r="B570" s="52"/>
    </row>
    <row r="571">
      <c r="B571" s="52"/>
    </row>
    <row r="572">
      <c r="B572" s="52"/>
    </row>
    <row r="573">
      <c r="B573" s="52"/>
    </row>
    <row r="574">
      <c r="B574" s="52"/>
    </row>
    <row r="575">
      <c r="B575" s="52"/>
    </row>
    <row r="576">
      <c r="B576" s="52"/>
    </row>
    <row r="577">
      <c r="B577" s="52"/>
    </row>
    <row r="578">
      <c r="B578" s="52"/>
    </row>
    <row r="579">
      <c r="B579" s="52"/>
    </row>
    <row r="580">
      <c r="B580" s="52"/>
    </row>
    <row r="581">
      <c r="B581" s="52"/>
    </row>
    <row r="582">
      <c r="B582" s="52"/>
    </row>
    <row r="583">
      <c r="B583" s="52"/>
    </row>
    <row r="584">
      <c r="B584" s="52"/>
    </row>
    <row r="585">
      <c r="B585" s="52"/>
    </row>
    <row r="586">
      <c r="B586" s="52"/>
    </row>
    <row r="587">
      <c r="B587" s="52"/>
    </row>
    <row r="588">
      <c r="B588" s="52"/>
    </row>
    <row r="589">
      <c r="B589" s="52"/>
    </row>
    <row r="590">
      <c r="B590" s="52"/>
    </row>
    <row r="591">
      <c r="B591" s="52"/>
    </row>
    <row r="592">
      <c r="B592" s="52"/>
    </row>
    <row r="593">
      <c r="B593" s="52"/>
    </row>
    <row r="594">
      <c r="B594" s="52"/>
    </row>
    <row r="595">
      <c r="B595" s="52"/>
    </row>
    <row r="596">
      <c r="B596" s="52"/>
    </row>
    <row r="597">
      <c r="B597" s="52"/>
    </row>
    <row r="598">
      <c r="B598" s="52"/>
    </row>
    <row r="599">
      <c r="B599" s="52"/>
    </row>
    <row r="600">
      <c r="B600" s="52"/>
    </row>
    <row r="601">
      <c r="B601" s="52"/>
    </row>
    <row r="602">
      <c r="B602" s="52"/>
    </row>
    <row r="603">
      <c r="B603" s="52"/>
    </row>
    <row r="604">
      <c r="B604" s="52"/>
    </row>
    <row r="605">
      <c r="B605" s="52"/>
    </row>
    <row r="606">
      <c r="B606" s="52"/>
    </row>
    <row r="607">
      <c r="B607" s="52"/>
    </row>
    <row r="608">
      <c r="B608" s="52"/>
    </row>
    <row r="609">
      <c r="B609" s="52"/>
    </row>
    <row r="610">
      <c r="B610" s="52"/>
    </row>
    <row r="611">
      <c r="B611" s="52"/>
    </row>
    <row r="612">
      <c r="B612" s="52"/>
    </row>
    <row r="613">
      <c r="B613" s="52"/>
    </row>
    <row r="614">
      <c r="B614" s="52"/>
    </row>
    <row r="615">
      <c r="B615" s="52"/>
    </row>
    <row r="616">
      <c r="B616" s="52"/>
    </row>
    <row r="617">
      <c r="B617" s="52"/>
    </row>
    <row r="618">
      <c r="B618" s="52"/>
    </row>
    <row r="619">
      <c r="B619" s="52"/>
    </row>
    <row r="620">
      <c r="B620" s="52"/>
    </row>
    <row r="621">
      <c r="B621" s="52"/>
    </row>
    <row r="622">
      <c r="B622" s="52"/>
    </row>
    <row r="623">
      <c r="B623" s="52"/>
    </row>
    <row r="624">
      <c r="B624" s="52"/>
    </row>
    <row r="625">
      <c r="B625" s="52"/>
    </row>
    <row r="626">
      <c r="B626" s="52"/>
    </row>
    <row r="627">
      <c r="B627" s="52"/>
    </row>
    <row r="628">
      <c r="B628" s="52"/>
    </row>
    <row r="629">
      <c r="B629" s="52"/>
    </row>
    <row r="630">
      <c r="B630" s="52"/>
    </row>
    <row r="631">
      <c r="B631" s="52"/>
    </row>
    <row r="632">
      <c r="B632" s="52"/>
    </row>
    <row r="633">
      <c r="B633" s="52"/>
    </row>
    <row r="634">
      <c r="B634" s="52"/>
    </row>
    <row r="635">
      <c r="B635" s="52"/>
    </row>
    <row r="636">
      <c r="B636" s="52"/>
    </row>
    <row r="637">
      <c r="B637" s="52"/>
    </row>
    <row r="638">
      <c r="B638" s="52"/>
    </row>
    <row r="639">
      <c r="B639" s="52"/>
    </row>
    <row r="640">
      <c r="B640" s="52"/>
    </row>
    <row r="641">
      <c r="B641" s="52"/>
    </row>
    <row r="642">
      <c r="B642" s="52"/>
    </row>
    <row r="643">
      <c r="B643" s="52"/>
    </row>
    <row r="644">
      <c r="B644" s="52"/>
    </row>
    <row r="645">
      <c r="B645" s="52"/>
    </row>
    <row r="646">
      <c r="B646" s="52"/>
    </row>
    <row r="647">
      <c r="B647" s="52"/>
    </row>
    <row r="648">
      <c r="B648" s="52"/>
    </row>
    <row r="649">
      <c r="B649" s="52"/>
    </row>
    <row r="650">
      <c r="B650" s="52"/>
    </row>
    <row r="651">
      <c r="B651" s="52"/>
    </row>
    <row r="652">
      <c r="B652" s="52"/>
    </row>
    <row r="653">
      <c r="B653" s="52"/>
    </row>
    <row r="654">
      <c r="B654" s="52"/>
    </row>
    <row r="655">
      <c r="B655" s="52"/>
    </row>
    <row r="656">
      <c r="B656" s="52"/>
    </row>
    <row r="657">
      <c r="B657" s="52"/>
    </row>
    <row r="658">
      <c r="B658" s="52"/>
    </row>
    <row r="659">
      <c r="B659" s="52"/>
    </row>
    <row r="660">
      <c r="B660" s="52"/>
    </row>
    <row r="661">
      <c r="B661" s="52"/>
    </row>
    <row r="662">
      <c r="B662" s="52"/>
    </row>
    <row r="663">
      <c r="B663" s="52"/>
    </row>
    <row r="664">
      <c r="B664" s="52"/>
    </row>
    <row r="665">
      <c r="B665" s="52"/>
    </row>
    <row r="666">
      <c r="B666" s="52"/>
    </row>
    <row r="667">
      <c r="B667" s="52"/>
    </row>
    <row r="668">
      <c r="B668" s="52"/>
    </row>
    <row r="669">
      <c r="B669" s="52"/>
    </row>
    <row r="670">
      <c r="B670" s="52"/>
    </row>
    <row r="671">
      <c r="B671" s="52"/>
    </row>
    <row r="672">
      <c r="B672" s="52"/>
    </row>
    <row r="673">
      <c r="B673" s="52"/>
    </row>
    <row r="674">
      <c r="B674" s="52"/>
    </row>
    <row r="675">
      <c r="B675" s="52"/>
    </row>
    <row r="676">
      <c r="B676" s="52"/>
    </row>
    <row r="677">
      <c r="B677" s="52"/>
    </row>
    <row r="678">
      <c r="B678" s="52"/>
    </row>
    <row r="679">
      <c r="B679" s="52"/>
    </row>
    <row r="680">
      <c r="B680" s="52"/>
    </row>
    <row r="681">
      <c r="B681" s="52"/>
    </row>
    <row r="682">
      <c r="B682" s="52"/>
    </row>
    <row r="683">
      <c r="B683" s="52"/>
    </row>
    <row r="684">
      <c r="B684" s="52"/>
    </row>
    <row r="685">
      <c r="B685" s="52"/>
    </row>
    <row r="686">
      <c r="B686" s="52"/>
    </row>
    <row r="687">
      <c r="B687" s="52"/>
    </row>
    <row r="688">
      <c r="B688" s="52"/>
    </row>
    <row r="689">
      <c r="B689" s="52"/>
    </row>
    <row r="690">
      <c r="B690" s="52"/>
    </row>
    <row r="691">
      <c r="B691" s="52"/>
    </row>
    <row r="692">
      <c r="B692" s="52"/>
    </row>
    <row r="693">
      <c r="B693" s="52"/>
    </row>
    <row r="694">
      <c r="B694" s="52"/>
    </row>
    <row r="695">
      <c r="B695" s="52"/>
    </row>
    <row r="696">
      <c r="B696" s="52"/>
    </row>
    <row r="697">
      <c r="B697" s="52"/>
    </row>
    <row r="698">
      <c r="B698" s="52"/>
    </row>
    <row r="699">
      <c r="B699" s="52"/>
    </row>
    <row r="700">
      <c r="B700" s="52"/>
    </row>
    <row r="701">
      <c r="B701" s="52"/>
    </row>
    <row r="702">
      <c r="B702" s="52"/>
    </row>
    <row r="703">
      <c r="B703" s="52"/>
    </row>
    <row r="704">
      <c r="B704" s="52"/>
    </row>
    <row r="705">
      <c r="B705" s="52"/>
    </row>
    <row r="706">
      <c r="B706" s="52"/>
    </row>
    <row r="707">
      <c r="B707" s="52"/>
    </row>
    <row r="708">
      <c r="B708" s="52"/>
    </row>
    <row r="709">
      <c r="B709" s="52"/>
    </row>
    <row r="710">
      <c r="B710" s="52"/>
    </row>
    <row r="711">
      <c r="B711" s="52"/>
    </row>
    <row r="712">
      <c r="B712" s="52"/>
    </row>
    <row r="713">
      <c r="B713" s="52"/>
    </row>
    <row r="714">
      <c r="B714" s="52"/>
    </row>
    <row r="715">
      <c r="B715" s="52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  <row r="729">
      <c r="B729" s="52"/>
    </row>
    <row r="730">
      <c r="B730" s="52"/>
    </row>
    <row r="731">
      <c r="B731" s="52"/>
    </row>
    <row r="732">
      <c r="B732" s="52"/>
    </row>
    <row r="733">
      <c r="B733" s="52"/>
    </row>
    <row r="734">
      <c r="B734" s="52"/>
    </row>
    <row r="735">
      <c r="B735" s="52"/>
    </row>
    <row r="736">
      <c r="B736" s="52"/>
    </row>
    <row r="737">
      <c r="B737" s="52"/>
    </row>
    <row r="738">
      <c r="B738" s="52"/>
    </row>
    <row r="739">
      <c r="B739" s="52"/>
    </row>
    <row r="740">
      <c r="B740" s="52"/>
    </row>
    <row r="741">
      <c r="B741" s="52"/>
    </row>
    <row r="742">
      <c r="B742" s="52"/>
    </row>
    <row r="743">
      <c r="B743" s="52"/>
    </row>
    <row r="744">
      <c r="B744" s="52"/>
    </row>
    <row r="745">
      <c r="B745" s="52"/>
    </row>
    <row r="746">
      <c r="B746" s="52"/>
    </row>
    <row r="747">
      <c r="B747" s="52"/>
    </row>
    <row r="748">
      <c r="B748" s="52"/>
    </row>
    <row r="749">
      <c r="B749" s="52"/>
    </row>
    <row r="750">
      <c r="B750" s="52"/>
    </row>
    <row r="751">
      <c r="B751" s="52"/>
    </row>
    <row r="752">
      <c r="B752" s="52"/>
    </row>
    <row r="753">
      <c r="B753" s="52"/>
    </row>
    <row r="754">
      <c r="B754" s="52"/>
    </row>
    <row r="755">
      <c r="B755" s="52"/>
    </row>
    <row r="756">
      <c r="B756" s="52"/>
    </row>
    <row r="757">
      <c r="B757" s="52"/>
    </row>
    <row r="758">
      <c r="B758" s="52"/>
    </row>
    <row r="759">
      <c r="B759" s="52"/>
    </row>
    <row r="760">
      <c r="B760" s="52"/>
    </row>
    <row r="761">
      <c r="B761" s="52"/>
    </row>
    <row r="762">
      <c r="B762" s="52"/>
    </row>
    <row r="763">
      <c r="B763" s="52"/>
    </row>
    <row r="764">
      <c r="B764" s="52"/>
    </row>
    <row r="765">
      <c r="B765" s="52"/>
    </row>
    <row r="766">
      <c r="B766" s="52"/>
    </row>
    <row r="767">
      <c r="B767" s="52"/>
    </row>
    <row r="768">
      <c r="B768" s="52"/>
    </row>
    <row r="769">
      <c r="B769" s="52"/>
    </row>
    <row r="770">
      <c r="B770" s="52"/>
    </row>
    <row r="771">
      <c r="B771" s="52"/>
    </row>
    <row r="772">
      <c r="B772" s="52"/>
    </row>
    <row r="773">
      <c r="B773" s="52"/>
    </row>
    <row r="774">
      <c r="B774" s="52"/>
    </row>
    <row r="775">
      <c r="B775" s="52"/>
    </row>
    <row r="776">
      <c r="B776" s="52"/>
    </row>
    <row r="777">
      <c r="B777" s="52"/>
    </row>
    <row r="778">
      <c r="B778" s="52"/>
    </row>
    <row r="779">
      <c r="B779" s="52"/>
    </row>
    <row r="780">
      <c r="B780" s="52"/>
    </row>
    <row r="781">
      <c r="B781" s="52"/>
    </row>
    <row r="782">
      <c r="B782" s="52"/>
    </row>
    <row r="783">
      <c r="B783" s="52"/>
    </row>
    <row r="784">
      <c r="B784" s="52"/>
    </row>
    <row r="785">
      <c r="B785" s="52"/>
    </row>
    <row r="786">
      <c r="B786" s="52"/>
    </row>
    <row r="787">
      <c r="B787" s="52"/>
    </row>
    <row r="788">
      <c r="B788" s="52"/>
    </row>
    <row r="789">
      <c r="B789" s="52"/>
    </row>
    <row r="790">
      <c r="B790" s="52"/>
    </row>
    <row r="791">
      <c r="B791" s="52"/>
    </row>
    <row r="792">
      <c r="B792" s="52"/>
    </row>
    <row r="793">
      <c r="B793" s="52"/>
    </row>
    <row r="794">
      <c r="B794" s="52"/>
    </row>
    <row r="795">
      <c r="B795" s="52"/>
    </row>
    <row r="796">
      <c r="B796" s="52"/>
    </row>
    <row r="797">
      <c r="B797" s="52"/>
    </row>
    <row r="798">
      <c r="B798" s="52"/>
    </row>
    <row r="799">
      <c r="B799" s="52"/>
    </row>
    <row r="800">
      <c r="B800" s="52"/>
    </row>
    <row r="801">
      <c r="B801" s="52"/>
    </row>
    <row r="802">
      <c r="B802" s="52"/>
    </row>
    <row r="803">
      <c r="B803" s="52"/>
    </row>
    <row r="804">
      <c r="B804" s="52"/>
    </row>
    <row r="805">
      <c r="B805" s="52"/>
    </row>
    <row r="806">
      <c r="B806" s="52"/>
    </row>
    <row r="807">
      <c r="B807" s="52"/>
    </row>
    <row r="808">
      <c r="B808" s="52"/>
    </row>
    <row r="809">
      <c r="B809" s="52"/>
    </row>
    <row r="810">
      <c r="B810" s="52"/>
    </row>
    <row r="811">
      <c r="B811" s="52"/>
    </row>
    <row r="812">
      <c r="B812" s="52"/>
    </row>
    <row r="813">
      <c r="B813" s="52"/>
    </row>
    <row r="814">
      <c r="B814" s="52"/>
    </row>
    <row r="815">
      <c r="B815" s="52"/>
    </row>
    <row r="816">
      <c r="B816" s="52"/>
    </row>
    <row r="817">
      <c r="B817" s="52"/>
    </row>
    <row r="818">
      <c r="B818" s="52"/>
    </row>
    <row r="819">
      <c r="B819" s="52"/>
    </row>
    <row r="820">
      <c r="B820" s="52"/>
    </row>
    <row r="821">
      <c r="B821" s="52"/>
    </row>
    <row r="822">
      <c r="B822" s="52"/>
    </row>
    <row r="823">
      <c r="B823" s="52"/>
    </row>
    <row r="824">
      <c r="B824" s="52"/>
    </row>
    <row r="825">
      <c r="B825" s="52"/>
    </row>
    <row r="826">
      <c r="B826" s="52"/>
    </row>
    <row r="827">
      <c r="B827" s="52"/>
    </row>
    <row r="828">
      <c r="B828" s="52"/>
    </row>
    <row r="829">
      <c r="B829" s="52"/>
    </row>
    <row r="830">
      <c r="B830" s="52"/>
    </row>
    <row r="831">
      <c r="B831" s="52"/>
    </row>
    <row r="832">
      <c r="B832" s="52"/>
    </row>
    <row r="833">
      <c r="B833" s="52"/>
    </row>
    <row r="834">
      <c r="B834" s="52"/>
    </row>
    <row r="835">
      <c r="B835" s="52"/>
    </row>
    <row r="836">
      <c r="B836" s="52"/>
    </row>
    <row r="837">
      <c r="B837" s="52"/>
    </row>
    <row r="838">
      <c r="B838" s="52"/>
    </row>
    <row r="839">
      <c r="B839" s="52"/>
    </row>
    <row r="840">
      <c r="B840" s="52"/>
    </row>
    <row r="841">
      <c r="B841" s="52"/>
    </row>
    <row r="842">
      <c r="B842" s="52"/>
    </row>
    <row r="843">
      <c r="B843" s="52"/>
    </row>
    <row r="844">
      <c r="B844" s="52"/>
    </row>
    <row r="845">
      <c r="B845" s="52"/>
    </row>
    <row r="846">
      <c r="B846" s="52"/>
    </row>
    <row r="847">
      <c r="B847" s="52"/>
    </row>
    <row r="848">
      <c r="B848" s="52"/>
    </row>
    <row r="849">
      <c r="B849" s="52"/>
    </row>
    <row r="850">
      <c r="B850" s="52"/>
    </row>
    <row r="851">
      <c r="B851" s="52"/>
    </row>
    <row r="852">
      <c r="B852" s="52"/>
    </row>
    <row r="853">
      <c r="B853" s="52"/>
    </row>
    <row r="854">
      <c r="B854" s="52"/>
    </row>
    <row r="855">
      <c r="B855" s="52"/>
    </row>
    <row r="856">
      <c r="B856" s="52"/>
    </row>
    <row r="857">
      <c r="B857" s="52"/>
    </row>
    <row r="858">
      <c r="B858" s="52"/>
    </row>
    <row r="859">
      <c r="B859" s="52"/>
    </row>
    <row r="860">
      <c r="B860" s="52"/>
    </row>
    <row r="861">
      <c r="B861" s="52"/>
    </row>
    <row r="862">
      <c r="B862" s="52"/>
    </row>
    <row r="863">
      <c r="B863" s="52"/>
    </row>
    <row r="864">
      <c r="B864" s="52"/>
    </row>
    <row r="865">
      <c r="B865" s="52"/>
    </row>
    <row r="866">
      <c r="B866" s="52"/>
    </row>
    <row r="867">
      <c r="B867" s="52"/>
    </row>
    <row r="868">
      <c r="B868" s="52"/>
    </row>
    <row r="869">
      <c r="B869" s="52"/>
    </row>
    <row r="870">
      <c r="B870" s="52"/>
    </row>
    <row r="871">
      <c r="B871" s="52"/>
    </row>
    <row r="872">
      <c r="B872" s="52"/>
    </row>
    <row r="873">
      <c r="B873" s="52"/>
    </row>
    <row r="874">
      <c r="B874" s="52"/>
    </row>
    <row r="875">
      <c r="B875" s="52"/>
    </row>
    <row r="876">
      <c r="B876" s="52"/>
    </row>
    <row r="877">
      <c r="B877" s="52"/>
    </row>
    <row r="878">
      <c r="B878" s="52"/>
    </row>
    <row r="879">
      <c r="B879" s="52"/>
    </row>
    <row r="880">
      <c r="B880" s="52"/>
    </row>
    <row r="881">
      <c r="B881" s="52"/>
    </row>
    <row r="882">
      <c r="B882" s="52"/>
    </row>
    <row r="883">
      <c r="B883" s="52"/>
    </row>
    <row r="884">
      <c r="B884" s="52"/>
    </row>
    <row r="885">
      <c r="B885" s="52"/>
    </row>
    <row r="886">
      <c r="B886" s="52"/>
    </row>
    <row r="887">
      <c r="B887" s="52"/>
    </row>
    <row r="888">
      <c r="B888" s="52"/>
    </row>
    <row r="889">
      <c r="B889" s="52"/>
    </row>
    <row r="890">
      <c r="B890" s="52"/>
    </row>
    <row r="891">
      <c r="B891" s="52"/>
    </row>
    <row r="892">
      <c r="B892" s="52"/>
    </row>
    <row r="893">
      <c r="B893" s="52"/>
    </row>
    <row r="894">
      <c r="B894" s="52"/>
    </row>
    <row r="895">
      <c r="B895" s="52"/>
    </row>
    <row r="896">
      <c r="B896" s="52"/>
    </row>
    <row r="897">
      <c r="B897" s="52"/>
    </row>
    <row r="898">
      <c r="B898" s="52"/>
    </row>
    <row r="899">
      <c r="B899" s="52"/>
    </row>
    <row r="900">
      <c r="B900" s="52"/>
    </row>
    <row r="901">
      <c r="B901" s="52"/>
    </row>
    <row r="902">
      <c r="B902" s="52"/>
    </row>
    <row r="903">
      <c r="B903" s="52"/>
    </row>
    <row r="904">
      <c r="B904" s="52"/>
    </row>
    <row r="905">
      <c r="B905" s="52"/>
    </row>
    <row r="906">
      <c r="B906" s="52"/>
    </row>
    <row r="907">
      <c r="B907" s="52"/>
    </row>
    <row r="908">
      <c r="B908" s="52"/>
    </row>
    <row r="909">
      <c r="B909" s="52"/>
    </row>
    <row r="910">
      <c r="B910" s="52"/>
    </row>
    <row r="911">
      <c r="B911" s="52"/>
    </row>
    <row r="912">
      <c r="B912" s="52"/>
    </row>
    <row r="913">
      <c r="B913" s="52"/>
    </row>
    <row r="914">
      <c r="B914" s="52"/>
    </row>
    <row r="915">
      <c r="B915" s="52"/>
    </row>
    <row r="916">
      <c r="B916" s="52"/>
    </row>
    <row r="917">
      <c r="B917" s="52"/>
    </row>
    <row r="918">
      <c r="B918" s="52"/>
    </row>
    <row r="919">
      <c r="B919" s="52"/>
    </row>
    <row r="920">
      <c r="B920" s="52"/>
    </row>
    <row r="921">
      <c r="B921" s="52"/>
    </row>
    <row r="922">
      <c r="B922" s="52"/>
    </row>
    <row r="923">
      <c r="B923" s="52"/>
    </row>
    <row r="924">
      <c r="B924" s="52"/>
    </row>
    <row r="925">
      <c r="B925" s="52"/>
    </row>
    <row r="926">
      <c r="B926" s="52"/>
    </row>
    <row r="927">
      <c r="B927" s="52"/>
    </row>
    <row r="928">
      <c r="B928" s="52"/>
    </row>
    <row r="929">
      <c r="B929" s="52"/>
    </row>
    <row r="930">
      <c r="B930" s="52"/>
    </row>
    <row r="931">
      <c r="B931" s="52"/>
    </row>
    <row r="932">
      <c r="B932" s="52"/>
    </row>
    <row r="933">
      <c r="B933" s="52"/>
    </row>
    <row r="934">
      <c r="B934" s="52"/>
    </row>
    <row r="935">
      <c r="B935" s="52"/>
    </row>
    <row r="936">
      <c r="B936" s="52"/>
    </row>
    <row r="937">
      <c r="B937" s="52"/>
    </row>
    <row r="938">
      <c r="B938" s="52"/>
    </row>
    <row r="939">
      <c r="B939" s="52"/>
    </row>
    <row r="940">
      <c r="B940" s="52"/>
    </row>
    <row r="941">
      <c r="B941" s="52"/>
    </row>
    <row r="942">
      <c r="B942" s="52"/>
    </row>
    <row r="943">
      <c r="B943" s="52"/>
    </row>
    <row r="944">
      <c r="B944" s="52"/>
    </row>
    <row r="945">
      <c r="B945" s="52"/>
    </row>
    <row r="946">
      <c r="B946" s="52"/>
    </row>
    <row r="947">
      <c r="B947" s="52"/>
    </row>
    <row r="948">
      <c r="B948" s="52"/>
    </row>
    <row r="949">
      <c r="B949" s="52"/>
    </row>
    <row r="950">
      <c r="B950" s="52"/>
    </row>
    <row r="951">
      <c r="B951" s="52"/>
    </row>
    <row r="952">
      <c r="B952" s="52"/>
    </row>
    <row r="953">
      <c r="B953" s="52"/>
    </row>
    <row r="954">
      <c r="B954" s="52"/>
    </row>
    <row r="955">
      <c r="B955" s="52"/>
    </row>
    <row r="956">
      <c r="B956" s="52"/>
    </row>
    <row r="957">
      <c r="B957" s="52"/>
    </row>
    <row r="958">
      <c r="B958" s="52"/>
    </row>
    <row r="959">
      <c r="B959" s="52"/>
    </row>
    <row r="960">
      <c r="B960" s="52"/>
    </row>
    <row r="961">
      <c r="B961" s="52"/>
    </row>
    <row r="962">
      <c r="B962" s="52"/>
    </row>
    <row r="963">
      <c r="B963" s="52"/>
    </row>
    <row r="964">
      <c r="B964" s="52"/>
    </row>
    <row r="965">
      <c r="B965" s="52"/>
    </row>
    <row r="966">
      <c r="B966" s="52"/>
    </row>
    <row r="967">
      <c r="B967" s="52"/>
    </row>
    <row r="968">
      <c r="B968" s="52"/>
    </row>
    <row r="969">
      <c r="B969" s="52"/>
    </row>
    <row r="970">
      <c r="B970" s="52"/>
    </row>
    <row r="971">
      <c r="B971" s="52"/>
    </row>
    <row r="972">
      <c r="B972" s="52"/>
    </row>
    <row r="973">
      <c r="B973" s="52"/>
    </row>
    <row r="974">
      <c r="B974" s="52"/>
    </row>
    <row r="975">
      <c r="B975" s="52"/>
    </row>
    <row r="976">
      <c r="B976" s="52"/>
    </row>
    <row r="977">
      <c r="B977" s="52"/>
    </row>
    <row r="978">
      <c r="B978" s="52"/>
    </row>
    <row r="979">
      <c r="B979" s="52"/>
    </row>
    <row r="980">
      <c r="B980" s="52"/>
    </row>
    <row r="981">
      <c r="B981" s="52"/>
    </row>
    <row r="982">
      <c r="B982" s="52"/>
    </row>
    <row r="983">
      <c r="B983" s="52"/>
    </row>
    <row r="984">
      <c r="B984" s="52"/>
    </row>
    <row r="985">
      <c r="B985" s="52"/>
    </row>
    <row r="986">
      <c r="B986" s="52"/>
    </row>
    <row r="987">
      <c r="B987" s="52"/>
    </row>
    <row r="988">
      <c r="B988" s="52"/>
    </row>
    <row r="989">
      <c r="B989" s="52"/>
    </row>
    <row r="990">
      <c r="B990" s="52"/>
    </row>
    <row r="991">
      <c r="B991" s="52"/>
    </row>
    <row r="992">
      <c r="B992" s="52"/>
    </row>
    <row r="993">
      <c r="B993" s="52"/>
    </row>
    <row r="994">
      <c r="B994" s="52"/>
    </row>
    <row r="995">
      <c r="B995" s="52"/>
    </row>
    <row r="996">
      <c r="B996" s="52"/>
    </row>
    <row r="997">
      <c r="B997" s="52"/>
    </row>
    <row r="998">
      <c r="B998" s="52"/>
    </row>
  </sheetData>
  <mergeCells count="16">
    <mergeCell ref="A1:A3"/>
    <mergeCell ref="B1:G1"/>
    <mergeCell ref="B2:G2"/>
    <mergeCell ref="B3:G3"/>
    <mergeCell ref="B4:G4"/>
    <mergeCell ref="C5:G5"/>
    <mergeCell ref="B6:G6"/>
    <mergeCell ref="A13:D16"/>
    <mergeCell ref="E13:G16"/>
    <mergeCell ref="B7:G7"/>
    <mergeCell ref="B8:G8"/>
    <mergeCell ref="B9:G9"/>
    <mergeCell ref="B10:G10"/>
    <mergeCell ref="B11:C11"/>
    <mergeCell ref="E11:G11"/>
    <mergeCell ref="B12:C12"/>
  </mergeCells>
  <printOptions gridLines="1" horizontalCentered="1"/>
  <pageMargins bottom="0.75" footer="0.0" header="0.0" left="0.7" right="0.7" top="0.75"/>
  <pageSetup paperSize="9" cellComments="atEnd" orientation="portrait" pageOrder="overThenDown"/>
  <colBreaks count="2" manualBreakCount="2">
    <brk man="1"/>
    <brk id="7" man="1"/>
  </colBreaks>
  <drawing r:id="rId1"/>
</worksheet>
</file>